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ownloads\"/>
    </mc:Choice>
  </mc:AlternateContent>
  <xr:revisionPtr revIDLastSave="0" documentId="13_ncr:1_{1F71D027-1759-4205-A2C1-7D84B9021D94}" xr6:coauthVersionLast="47" xr6:coauthVersionMax="47" xr10:uidLastSave="{00000000-0000-0000-0000-000000000000}"/>
  <bookViews>
    <workbookView xWindow="-108" yWindow="-108" windowWidth="23256" windowHeight="12456" xr2:uid="{22D3D2BE-82D0-464A-B9F6-BD6E31499E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02" i="1" l="1"/>
  <c r="R201" i="1"/>
  <c r="AG200" i="1"/>
  <c r="AF200" i="1"/>
  <c r="AE200" i="1"/>
  <c r="AD200" i="1"/>
  <c r="AA200" i="1"/>
  <c r="Y200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Y187" i="1"/>
  <c r="R187" i="1"/>
  <c r="R186" i="1"/>
  <c r="Z185" i="1"/>
  <c r="Y185" i="1"/>
  <c r="V185" i="1"/>
  <c r="R185" i="1"/>
  <c r="AK184" i="1"/>
  <c r="Y184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V162" i="1"/>
  <c r="U162" i="1"/>
  <c r="R162" i="1"/>
  <c r="R161" i="1"/>
  <c r="R160" i="1"/>
  <c r="R159" i="1"/>
  <c r="R158" i="1"/>
  <c r="V157" i="1"/>
  <c r="R157" i="1"/>
  <c r="R156" i="1"/>
  <c r="N156" i="1"/>
  <c r="R155" i="1"/>
  <c r="R154" i="1"/>
  <c r="R153" i="1"/>
  <c r="R152" i="1"/>
  <c r="R151" i="1"/>
  <c r="H151" i="1"/>
  <c r="R150" i="1"/>
  <c r="R149" i="1"/>
  <c r="R148" i="1"/>
  <c r="R147" i="1"/>
  <c r="R146" i="1"/>
  <c r="R145" i="1"/>
  <c r="R144" i="1"/>
  <c r="AH143" i="1"/>
  <c r="AA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H126" i="1"/>
  <c r="R125" i="1"/>
  <c r="R124" i="1"/>
  <c r="R123" i="1"/>
  <c r="R122" i="1"/>
  <c r="R121" i="1"/>
  <c r="R120" i="1"/>
  <c r="R119" i="1"/>
  <c r="R118" i="1"/>
  <c r="R117" i="1"/>
  <c r="R116" i="1"/>
  <c r="R115" i="1"/>
  <c r="N115" i="1"/>
  <c r="R114" i="1"/>
  <c r="R113" i="1"/>
  <c r="R112" i="1"/>
  <c r="R111" i="1"/>
  <c r="R110" i="1"/>
  <c r="R109" i="1"/>
  <c r="R108" i="1"/>
  <c r="R107" i="1"/>
  <c r="R106" i="1"/>
  <c r="R105" i="1"/>
  <c r="R104" i="1"/>
  <c r="Y103" i="1"/>
  <c r="V103" i="1"/>
  <c r="U103" i="1"/>
  <c r="T103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3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</calcChain>
</file>

<file path=xl/sharedStrings.xml><?xml version="1.0" encoding="utf-8"?>
<sst xmlns="http://schemas.openxmlformats.org/spreadsheetml/2006/main" count="796" uniqueCount="423">
  <si>
    <t>Animal</t>
  </si>
  <si>
    <t>blue</t>
  </si>
  <si>
    <t>green</t>
  </si>
  <si>
    <t>C=C</t>
  </si>
  <si>
    <t>C-P</t>
  </si>
  <si>
    <t>C-C</t>
  </si>
  <si>
    <t>C-O</t>
  </si>
  <si>
    <t>C-N</t>
  </si>
  <si>
    <t>C=O</t>
  </si>
  <si>
    <t>C-H</t>
  </si>
  <si>
    <t>C-O-C</t>
  </si>
  <si>
    <t>P-O</t>
  </si>
  <si>
    <t>C-OH</t>
  </si>
  <si>
    <t>P-C</t>
  </si>
  <si>
    <t>N-H</t>
  </si>
  <si>
    <t>C-S</t>
  </si>
  <si>
    <t>S=O</t>
  </si>
  <si>
    <t>S-O</t>
  </si>
  <si>
    <t>C-SO3</t>
  </si>
  <si>
    <t>O-C=O</t>
  </si>
  <si>
    <t>C=N-C</t>
  </si>
  <si>
    <t>C-N-C</t>
  </si>
  <si>
    <t>N-O</t>
  </si>
  <si>
    <t>N=O</t>
  </si>
  <si>
    <t>N_C3</t>
  </si>
  <si>
    <t>NO3</t>
  </si>
  <si>
    <t>C=N</t>
  </si>
  <si>
    <t>CO-NH2 (Amide)</t>
  </si>
  <si>
    <t>C-NH2 (Amine)</t>
  </si>
  <si>
    <t>O=C-NH</t>
  </si>
  <si>
    <t>O=C-OH</t>
  </si>
  <si>
    <t>H-O-H</t>
  </si>
  <si>
    <t>C-SOx</t>
  </si>
  <si>
    <t>O-H</t>
  </si>
  <si>
    <t>Ti</t>
  </si>
  <si>
    <t>Ti-OH</t>
  </si>
  <si>
    <t>P=O</t>
  </si>
  <si>
    <t>P-N</t>
  </si>
  <si>
    <t>C-N-C3</t>
  </si>
  <si>
    <t>C-Cl</t>
  </si>
  <si>
    <t>Cl-C=O</t>
  </si>
  <si>
    <t>COO-</t>
  </si>
  <si>
    <t>S-H</t>
  </si>
  <si>
    <t>N=C=S</t>
  </si>
  <si>
    <t>C=0</t>
  </si>
  <si>
    <t>O=C-O</t>
  </si>
  <si>
    <t>O=C=O</t>
  </si>
  <si>
    <t>C=-C</t>
  </si>
  <si>
    <t>C-O-N</t>
  </si>
  <si>
    <t>SO3</t>
  </si>
  <si>
    <t>Ti-O</t>
  </si>
  <si>
    <t>C=S</t>
  </si>
  <si>
    <t>C-S-C</t>
  </si>
  <si>
    <t>Scallion Leaves</t>
  </si>
  <si>
    <t>https://doi.org/10.1080/00032719.2020.1716782</t>
  </si>
  <si>
    <t>Eleocharis dulcis</t>
  </si>
  <si>
    <t xml:space="preserve"> </t>
  </si>
  <si>
    <t>https://doi.org/10.3390/nano8060386</t>
  </si>
  <si>
    <t>Azadirachta indica</t>
  </si>
  <si>
    <t>https://doi.org/10.1021/acsbiomaterials.8b01528</t>
  </si>
  <si>
    <t>Maize</t>
  </si>
  <si>
    <t>https://doi.org/10.1007/s11051-017-3888-5</t>
  </si>
  <si>
    <t>Rose-heart radish</t>
  </si>
  <si>
    <t>https://doi.org/10.1016/j.snb.2016.10.068</t>
  </si>
  <si>
    <t>Tulsi leaves</t>
  </si>
  <si>
    <t>https://doi.org/10.1016/j.snb.2016.11.109</t>
  </si>
  <si>
    <t>Strawberry</t>
  </si>
  <si>
    <t>https://doi.org/10.1039/C3RA43452D</t>
  </si>
  <si>
    <t>Pomelo</t>
  </si>
  <si>
    <t>https://doi.org/10.1021/ac3007939</t>
  </si>
  <si>
    <t>willow bark</t>
  </si>
  <si>
    <t>https://doi.org/10.1039/C2CY20635H</t>
  </si>
  <si>
    <t>Tulsi</t>
  </si>
  <si>
    <t>https://doi.org/10.1016/j.colsurfb.2018.04.008</t>
  </si>
  <si>
    <t>Ginkgo leaf</t>
  </si>
  <si>
    <t>https://doi.org/10.1016/j.jpba.2018.11.025</t>
  </si>
  <si>
    <t>Tamarindus indica leaves</t>
  </si>
  <si>
    <t>https://doi.org/10.1039/C8NJ00432C</t>
  </si>
  <si>
    <t>Allium fistulosum</t>
  </si>
  <si>
    <t>https://doi.org/10.1039/C8NJ05783D</t>
  </si>
  <si>
    <t>Abelmoschus manihot</t>
  </si>
  <si>
    <t>https://doi.org/10.1016/j.microc.2019.05.026</t>
  </si>
  <si>
    <t>Osmanthus fragrans</t>
  </si>
  <si>
    <t>https://doi.org/10.1007/s00216-019-01712-6</t>
  </si>
  <si>
    <t>Lemon Juice</t>
  </si>
  <si>
    <t>https://doi.org/10.1155/2019/2852816</t>
  </si>
  <si>
    <t>Barley</t>
  </si>
  <si>
    <t>https://doi.org/10.3390/s19143169</t>
  </si>
  <si>
    <t>lemon grass herb</t>
  </si>
  <si>
    <t>https://doi.org/10.1049/iet-nbt.2017.0038</t>
  </si>
  <si>
    <t>Jinhua bergamot</t>
  </si>
  <si>
    <t>https://doi.org/10.1016/j.snb.2015.03.006</t>
  </si>
  <si>
    <t>Cow milk</t>
  </si>
  <si>
    <t>https://doi.org/10.1038/s41598-022-26906-4</t>
  </si>
  <si>
    <t>Apple juice</t>
  </si>
  <si>
    <t>https://doi.org/10.1016/S1872-2040(14)60765-9</t>
  </si>
  <si>
    <t>https://doi.org/10.1016/j.mseb.2019.114455</t>
  </si>
  <si>
    <t>https://doi.org/10.1016/j.msec.2017.03.045</t>
  </si>
  <si>
    <t>Milk</t>
  </si>
  <si>
    <t>https://doi.org/10.1007/s10895-016-1939-4</t>
  </si>
  <si>
    <t>Cabbage</t>
  </si>
  <si>
    <t>https://doi.org/10.1039/C5GC00686D</t>
  </si>
  <si>
    <t>Biomass (hemicelluloses, lignin, chitosan, and cellulose)</t>
  </si>
  <si>
    <t>https://doi.org/10.1007/s10570-019-02807-0</t>
  </si>
  <si>
    <t>Grass</t>
  </si>
  <si>
    <t>https://doi.org/10.1016/j.apsusc.2018.08.223</t>
  </si>
  <si>
    <t>cassava pulp</t>
  </si>
  <si>
    <t>31,9 </t>
  </si>
  <si>
    <t>https://doi.org/10.1016/j.crcon.2023.100206</t>
  </si>
  <si>
    <t>turmeric leaves</t>
  </si>
  <si>
    <t>https://doi.org/10.3390/nano11020369</t>
  </si>
  <si>
    <t>Acerola Fruit</t>
  </si>
  <si>
    <t>https://doi.org/10.1590/1980-5373-MR-2018-0920</t>
  </si>
  <si>
    <t>Bagass of sugarcane</t>
  </si>
  <si>
    <t>https://doi.org/10.1088/0957-4484/25/31/315702</t>
  </si>
  <si>
    <t>Phyllanthus emblica fruit</t>
  </si>
  <si>
    <t>https://doi.org/10.1021/acsomega.8b03674</t>
  </si>
  <si>
    <t>elm seeds</t>
  </si>
  <si>
    <t>https://doi.org/10.1016/j.inoche.2022.109837</t>
  </si>
  <si>
    <t>saffron</t>
  </si>
  <si>
    <t>https://doi.org/10.1016/j.snb.2017.06.163</t>
  </si>
  <si>
    <t>banana peel</t>
  </si>
  <si>
    <t>https://doi.org/10.1016/j.physe.2020.114417</t>
  </si>
  <si>
    <t>Orange peel</t>
  </si>
  <si>
    <t>https://doi.org/10.1016/j.materresbull.2019.110730</t>
  </si>
  <si>
    <t>Paulownia leaves</t>
  </si>
  <si>
    <t>Magnolia flower</t>
  </si>
  <si>
    <t>Syringa Obtata Lindl</t>
  </si>
  <si>
    <t>https://doi.org/10.1016/j.saa.2018.04.029</t>
  </si>
  <si>
    <t>Rice residue </t>
  </si>
  <si>
    <t>https://doi.org/10.1016/j.jcis.2018.12.047</t>
  </si>
  <si>
    <t>Unripe peach</t>
  </si>
  <si>
    <t>http://dx.doi.org/10.1016/j.jcis.2016.07.058</t>
  </si>
  <si>
    <t>Malus floribunda </t>
  </si>
  <si>
    <t>https://doi.org/10.1016/j.matlet.2019.127153</t>
  </si>
  <si>
    <t>green alga</t>
  </si>
  <si>
    <t>https://doi.org/10.1016/j.microc.2019.04.015</t>
  </si>
  <si>
    <t>coriander leaves</t>
  </si>
  <si>
    <t>https://doi.org/10.1039/C5AN00454C</t>
  </si>
  <si>
    <t>Stevia rebaudiana Bertoni</t>
  </si>
  <si>
    <t>https://doi.org/10.14715/cmb/2018.64.12.7</t>
  </si>
  <si>
    <t> Orange Juice</t>
  </si>
  <si>
    <t>https://doi.org/10.1007/s10895-023-03483-x</t>
  </si>
  <si>
    <t>rose-heart radish</t>
  </si>
  <si>
    <t>corn stalk shell</t>
  </si>
  <si>
    <t>https://doi.org/10.1016/j.microc.2021.106250</t>
  </si>
  <si>
    <t>sweet pepper </t>
  </si>
  <si>
    <t>https://doi.org/10.1039/C3AN01003A</t>
  </si>
  <si>
    <t>wheat straw</t>
  </si>
  <si>
    <t>https://doi.org/10.1016/j.apsusc.2015.07.095</t>
  </si>
  <si>
    <t>aloe </t>
  </si>
  <si>
    <t>https://doi.org/10.1021/acs.jafc.5b02319</t>
  </si>
  <si>
    <t>Cinnamon</t>
  </si>
  <si>
    <t>https://doi:10.3762/bjnano.9.51</t>
  </si>
  <si>
    <t>Red chilli</t>
  </si>
  <si>
    <t>turmeric</t>
  </si>
  <si>
    <t>black pepper</t>
  </si>
  <si>
    <t>Garlic</t>
  </si>
  <si>
    <t>https://doi.org/10.1021/acsami.5b03228</t>
  </si>
  <si>
    <t>gardenia fruit</t>
  </si>
  <si>
    <t>https://doi.org/10.1016/j.saa.2020.118598</t>
  </si>
  <si>
    <t>Hongcaitai </t>
  </si>
  <si>
    <t>https://doi.org/10.1016/j.snb.2018.02.141</t>
  </si>
  <si>
    <t>coconut petiole</t>
  </si>
  <si>
    <t>https://doi.org/10.1007/s10570-020-03637-1</t>
  </si>
  <si>
    <t>carrot juice</t>
  </si>
  <si>
    <t>http://dx.doi.org/10.5714/CL.2017.21.061</t>
  </si>
  <si>
    <t>Peach fruit</t>
  </si>
  <si>
    <t>https://doi.org/10.1016/j.jallcom.2018.06.272</t>
  </si>
  <si>
    <t>Ziziphus mauritiana fruit</t>
  </si>
  <si>
    <t>https://doi.org/10.1016/j.talo.2023.100259</t>
  </si>
  <si>
    <t>avocado peels</t>
  </si>
  <si>
    <t>https://doi.org/10.1016/j.inoche.2023.111866</t>
  </si>
  <si>
    <t>Curcumin</t>
  </si>
  <si>
    <t>https://doi.org/10.1021/acsomega.7b01323</t>
  </si>
  <si>
    <t>Curcuma zedoaria</t>
  </si>
  <si>
    <t>https://doi.org/10.1007/s00216-023-04603-z</t>
  </si>
  <si>
    <t>guava leaf</t>
  </si>
  <si>
    <t>https://doi.org/10.1016/j.matpr.2020.03.805</t>
  </si>
  <si>
    <t>Dunaliella salina biomass</t>
  </si>
  <si>
    <t>https://doi.org/10.1016/j.jphotochem.2019.02.023</t>
  </si>
  <si>
    <t>Hylocereus undatus</t>
  </si>
  <si>
    <t>https://doi.org/10.1016/j.jphotobiol.2017.02.007</t>
  </si>
  <si>
    <t>banana peels</t>
  </si>
  <si>
    <t>https://doi.org/10.1007/s13399-020-00839-2</t>
  </si>
  <si>
    <t>Chionanthus retusus fruit</t>
  </si>
  <si>
    <t>https://doi.org/10.1016/j.snb.2017.02.119</t>
  </si>
  <si>
    <t>Lycii Fructus</t>
  </si>
  <si>
    <t>https://doi.org/10.1016/j.jphotobiol.2017.08.035</t>
  </si>
  <si>
    <t>apple juice</t>
  </si>
  <si>
    <t>https://doi.org/10.1016/j.snb.2015.02.104</t>
  </si>
  <si>
    <t>ginkgo leaves</t>
  </si>
  <si>
    <t>https://doi.org/10.1016/j.matlet.2017.03.112</t>
  </si>
  <si>
    <t>Lantana camara berries</t>
  </si>
  <si>
    <t>https://doi.org/10.1016/j.jphotobiol.2017.11.010</t>
  </si>
  <si>
    <t xml:space="preserve">leaves of Lour </t>
  </si>
  <si>
    <t>https://doi.org/10.1016/j.matchemphys.2022.126236</t>
  </si>
  <si>
    <t xml:space="preserve">leaves of Thumbai </t>
  </si>
  <si>
    <t>Tulsi leaves (Ocimum sanctum)</t>
  </si>
  <si>
    <t>Prosopis juliflora</t>
  </si>
  <si>
    <t>https://doi.org/10.1038/s41598-023-36033-3</t>
  </si>
  <si>
    <t xml:space="preserve">Walnut Oil </t>
  </si>
  <si>
    <t>https://doi.org/10.15171/apb.2018.018</t>
  </si>
  <si>
    <t>myrrh residue</t>
  </si>
  <si>
    <t>https://doi.org/10.1007/s10853-023-08912-7</t>
  </si>
  <si>
    <t>https://doi.org/10.1039/c8nj05783d</t>
  </si>
  <si>
    <t xml:space="preserve">Broccoli </t>
  </si>
  <si>
    <t>https://doi.org/10.1021/acsbiomaterials.2c01537</t>
  </si>
  <si>
    <t>grape skin</t>
  </si>
  <si>
    <t>https://doi.org/10.1016/j.snb.2017.11.096</t>
  </si>
  <si>
    <t xml:space="preserve">Garcinia mangostana </t>
  </si>
  <si>
    <t>https://doi.org/10.3390/agronomy13010205</t>
  </si>
  <si>
    <t>Orange Waste Peels</t>
  </si>
  <si>
    <t>https://doi.org/10.1021/ie402421s</t>
  </si>
  <si>
    <t>orange peels</t>
  </si>
  <si>
    <t>https://doi.org/10.1007/s11426-014-5256-y</t>
  </si>
  <si>
    <t>Punica granatum</t>
  </si>
  <si>
    <t>https://doi.org/10.1039/c4ay02737j</t>
  </si>
  <si>
    <t>Prunus avium</t>
  </si>
  <si>
    <t>https://doi.org/10.1016/j.jphotobiol.2016.03.010</t>
  </si>
  <si>
    <t>Magnolia liliiflora</t>
  </si>
  <si>
    <t>https://doi.org/10.1016/j.colsurfb.2018.05.032</t>
  </si>
  <si>
    <t>dwarf banana peel</t>
  </si>
  <si>
    <t>https://doi.org/10.1016/j.fuel.2020.117821</t>
  </si>
  <si>
    <t>pineapple juice</t>
  </si>
  <si>
    <t>http://dx.doi.org/10.1016/j.ceramint.2017.02.127</t>
  </si>
  <si>
    <t xml:space="preserve">green pakchoi </t>
  </si>
  <si>
    <t>https://doi.org/10.1039/C5RA17439B</t>
  </si>
  <si>
    <t>clove buds</t>
  </si>
  <si>
    <t>https://doi.org/10.1016/j.colsurfb.2022.112926</t>
  </si>
  <si>
    <t xml:space="preserve">Abelmoschus manihot </t>
  </si>
  <si>
    <t>Cherry Tomatoes</t>
  </si>
  <si>
    <t xml:space="preserve"> https://doi.org/10.1002/slct.201904517</t>
  </si>
  <si>
    <t>Poa pratensis</t>
  </si>
  <si>
    <t>https://doi.org/10.1016/j.chemosphere.2021.131764</t>
  </si>
  <si>
    <t>Malva Sylvestris</t>
  </si>
  <si>
    <t>https://doi.org/10.1016/j.microc.2021.106222</t>
  </si>
  <si>
    <t xml:space="preserve">Soymeal </t>
  </si>
  <si>
    <t>https://doi.org/10.1016/j.apsusc.2021.149503</t>
  </si>
  <si>
    <t xml:space="preserve">gelatin </t>
  </si>
  <si>
    <t>https://doi.org/10.1016/j.saa.2021.120132</t>
  </si>
  <si>
    <t xml:space="preserve">papaya </t>
  </si>
  <si>
    <t>https://doi.org/10.1016/j.bios.2016.04.089</t>
  </si>
  <si>
    <t xml:space="preserve">Tamarindus indica </t>
  </si>
  <si>
    <t>https://doi.org/10.1039/c8nj00432c</t>
  </si>
  <si>
    <t xml:space="preserve">sterculia lychnophora seeds </t>
  </si>
  <si>
    <t>https://doi.org/10.1016/j.talanta.2016.11.051</t>
  </si>
  <si>
    <t>goose feathers</t>
  </si>
  <si>
    <t>https://doi.org/10.1039/C4RA12077A</t>
  </si>
  <si>
    <t>https://doi.org/10.1016/j.jphotobiol.2020.112014</t>
  </si>
  <si>
    <t>red lentils</t>
  </si>
  <si>
    <t>https://doi.org/10.1016/j.optmat.2019.03.054</t>
  </si>
  <si>
    <t>Chebulic Myrobalan</t>
  </si>
  <si>
    <t>https://doi.org/10.3390/s23020787</t>
  </si>
  <si>
    <t xml:space="preserve">lichi leaves </t>
  </si>
  <si>
    <t>https://doi.org/10.1016/j.molliq.2022.119522</t>
  </si>
  <si>
    <t>Salvia hispanica L. seeds</t>
  </si>
  <si>
    <t>https://doi.org/10.1016/j.jece.2021.105461</t>
  </si>
  <si>
    <t xml:space="preserve">groundnuts </t>
  </si>
  <si>
    <t>https://doi.org/10.1016/j.jphotochem.2018.12.028</t>
  </si>
  <si>
    <t>bamboo leaves</t>
  </si>
  <si>
    <t>https://doi.org/10.1016/j.snb.2014.02.053</t>
  </si>
  <si>
    <t>Seville orange</t>
  </si>
  <si>
    <t>https://doi.org/10.1016/j.microc.2020.105357</t>
  </si>
  <si>
    <t>Bombyx mori silk</t>
  </si>
  <si>
    <t>https://doi.org/10.1039/c3tb20418a</t>
  </si>
  <si>
    <t>palm bunch</t>
  </si>
  <si>
    <t>https://doi.org/10.1016/j.aca.2022.340368</t>
  </si>
  <si>
    <t>banana juice</t>
  </si>
  <si>
    <t>https://doi.org/10.1016/j.jece.2020.103720</t>
  </si>
  <si>
    <t>red cabbage</t>
  </si>
  <si>
    <t>https://doi.org/10.1007/s00253-020-10726-5</t>
  </si>
  <si>
    <t>cauliflower juice</t>
  </si>
  <si>
    <t>https://doi.org/10.1371/journal.pone.0230646</t>
  </si>
  <si>
    <t>coconut shells</t>
  </si>
  <si>
    <t>https://doi.org/10.31018/jans.v13i4.2916</t>
  </si>
  <si>
    <t>https://doi.org/10.1021/ac502646x</t>
  </si>
  <si>
    <t> sweet potato</t>
  </si>
  <si>
    <t>https://doi.org/10.1016/j.msec.2017.03.178</t>
  </si>
  <si>
    <t>C. vulgaris peels</t>
  </si>
  <si>
    <t xml:space="preserve">http://dx.doi.org/10.17159/sajs.2023/13921 </t>
  </si>
  <si>
    <t xml:space="preserve">Chocolate </t>
  </si>
  <si>
    <t>https://doi.org/10.1016/j.snb.2016.06.092</t>
  </si>
  <si>
    <t>gum tragacanth</t>
  </si>
  <si>
    <t>https://doi.org/10.1016/j.optmat.2019.109356</t>
  </si>
  <si>
    <t>Nigella sativa seeds</t>
  </si>
  <si>
    <t>https://doi.org/10.1016/j.dyepig.2020.108640</t>
  </si>
  <si>
    <t>Coccinia grandis</t>
  </si>
  <si>
    <t>https://doi.org/10.1007/s10895-019-02474-1</t>
  </si>
  <si>
    <t xml:space="preserve"> cocoon silk</t>
  </si>
  <si>
    <t>https://doi.org/10.1039/c5ra12976a</t>
  </si>
  <si>
    <t xml:space="preserve"> corn cob</t>
  </si>
  <si>
    <t>https://doi.org/10.1016/j.jhazmat.2021.125091</t>
  </si>
  <si>
    <t>https://doi.org/10.1039/C3RA00088E</t>
  </si>
  <si>
    <t>Averrhoa carambola fruit</t>
  </si>
  <si>
    <t>https://doi.org/10.3390/s19225008</t>
  </si>
  <si>
    <t>sweet potato</t>
  </si>
  <si>
    <t>https://doi.org/10.1016/j.jtice.2021.09.015</t>
  </si>
  <si>
    <t>Boswellia ovalifoliolata bark</t>
  </si>
  <si>
    <t>https://doi.org/10.1016/j.jece.2019.103013</t>
  </si>
  <si>
    <t>Empty Fruit Bunch Biochar</t>
  </si>
  <si>
    <t>https://doi.org/10.3390/ma13153356</t>
  </si>
  <si>
    <t>palm waste</t>
  </si>
  <si>
    <t>https://doi.org/10.1038/s41598-022-14704-x</t>
  </si>
  <si>
    <t>Catharanthus roseus leaves</t>
  </si>
  <si>
    <t>https://doi.org/10.1016/j.susmat.2019.e00138</t>
  </si>
  <si>
    <t xml:space="preserve"> Melia azedarach leaves</t>
  </si>
  <si>
    <t>https://doi.org/10.1007/s10895-023-03188-1</t>
  </si>
  <si>
    <t xml:space="preserve"> shiitake mushroom</t>
  </si>
  <si>
    <t>https://doi.org/10.1039/c6tb02071b</t>
  </si>
  <si>
    <t>sweet potato peels</t>
  </si>
  <si>
    <t>https://doi.org/10.1016/j.jiec.2018.10.007</t>
  </si>
  <si>
    <t>https://doi.org/10.1101/2021.11.29.470381</t>
  </si>
  <si>
    <t>waste tea</t>
  </si>
  <si>
    <t>https://doi.org/10.1016/j.saa.2019.01.066</t>
  </si>
  <si>
    <t>juice of the P. acidus fruit</t>
  </si>
  <si>
    <t>https://doi.org/10.1016/j.jphotochem.2018.12.011</t>
  </si>
  <si>
    <t>Carica papaya Juice</t>
  </si>
  <si>
    <t>https://doi.org/10.1007/s10895-015-1595-0</t>
  </si>
  <si>
    <t xml:space="preserve">Cranberry Beans </t>
  </si>
  <si>
    <t>https://doi.org/10.1021/acsomega.9b01333</t>
  </si>
  <si>
    <t>Waste Bones</t>
  </si>
  <si>
    <t>https://doi.org/10.3390/molecules27196479</t>
  </si>
  <si>
    <t>Prunus cerasifera fruits</t>
  </si>
  <si>
    <t>https://doi.org/10.1016/j.saa.2019.01.079</t>
  </si>
  <si>
    <t xml:space="preserve">cinnamon </t>
  </si>
  <si>
    <t>https://doi.org/10.1016/j.saa.2023.123413</t>
  </si>
  <si>
    <t xml:space="preserve">root of the herb Mahonia oiwakensis Hayata </t>
  </si>
  <si>
    <t>https://doi.org/10.1039/D1RA01318A</t>
  </si>
  <si>
    <t>pineapple root </t>
  </si>
  <si>
    <t xml:space="preserve">Indian gooseberry fruit </t>
  </si>
  <si>
    <t>https://doi.org/10.1021/acsomega.8b02463</t>
  </si>
  <si>
    <t>eggplant sepals</t>
  </si>
  <si>
    <t>https://doi.org/10.1007/s11426-016-0022-y</t>
  </si>
  <si>
    <t>maple tree leaves</t>
  </si>
  <si>
    <t>https://doi.org/10.1016/j.chemosphere.2021.131915</t>
  </si>
  <si>
    <t xml:space="preserve"> cicada slough powder</t>
  </si>
  <si>
    <t>https://doi.org/10.1007/s11694-023-01988-4</t>
  </si>
  <si>
    <t>orange juice</t>
  </si>
  <si>
    <t>https://doi.org/10.1039/c2cc33796g</t>
  </si>
  <si>
    <t>Henna plant</t>
  </si>
  <si>
    <t>https://doi.org/10.1016/j.msec.2019.01.041</t>
  </si>
  <si>
    <t>Duck blood</t>
  </si>
  <si>
    <t>https://doi.org/10.1016/j.snb.2017.09.067</t>
  </si>
  <si>
    <t xml:space="preserve"> Solanum tuberosum</t>
  </si>
  <si>
    <t>https://doi.org/10.1039/c4nj00840e</t>
  </si>
  <si>
    <t xml:space="preserve">drumstick resin </t>
  </si>
  <si>
    <t>https://doi.org/10.1007/s13204-024-03036-z</t>
  </si>
  <si>
    <t>Date kernel</t>
  </si>
  <si>
    <t>https://doi.org/10.1016/j.aca.2018.05.014</t>
  </si>
  <si>
    <t>flax straw</t>
  </si>
  <si>
    <t>https://doi.org/10.1016/j.jcis.2020.06.034</t>
  </si>
  <si>
    <t xml:space="preserve">palm powder </t>
  </si>
  <si>
    <t>https://doi.org/10.1016/j.saa.2019.117659</t>
  </si>
  <si>
    <t xml:space="preserve"> Pseudo-stem of banana plant</t>
  </si>
  <si>
    <t>https://doi.org/10.1016/j.snb.2017.06.088</t>
  </si>
  <si>
    <t>wheat fluor</t>
  </si>
  <si>
    <t>https://doi.org/10.1002/slct.202303994</t>
  </si>
  <si>
    <t>oat fluor</t>
  </si>
  <si>
    <t>Peach juice</t>
  </si>
  <si>
    <t>https://doi.org/10.1166/jnn.2018.15356</t>
  </si>
  <si>
    <t xml:space="preserve">Cedrus </t>
  </si>
  <si>
    <t>https://doi.org/10.1016/j.talanta.2018.09.069</t>
  </si>
  <si>
    <t xml:space="preserve"> fruits of P. mume</t>
  </si>
  <si>
    <t>https://doi.org/10.1016/j.fuel.2020.118682</t>
  </si>
  <si>
    <t>cucumber peel</t>
  </si>
  <si>
    <t>https://doi.org/10.1007/s10895-014-1465-1</t>
  </si>
  <si>
    <t>pineapple peel</t>
  </si>
  <si>
    <t>kiwi peel</t>
  </si>
  <si>
    <t>https://doi.org/10.1016/j.envres.2021.112365</t>
  </si>
  <si>
    <t> purslane leaves</t>
  </si>
  <si>
    <t>https://doi.org/10.1016/j.carbon.2021.03.047</t>
  </si>
  <si>
    <t>Rosemary leaves</t>
  </si>
  <si>
    <t>https://doi.org/10.1016/j.solener.2019.02.072</t>
  </si>
  <si>
    <t>Carrot roots</t>
  </si>
  <si>
    <t>https://doi.org/10.1016/j.ijleo.2017.12.200</t>
  </si>
  <si>
    <t>T. erecta flowers</t>
  </si>
  <si>
    <t>https://doi.org/10.1016/j.chemosphere.2021.130515</t>
  </si>
  <si>
    <t>Precursor</t>
  </si>
  <si>
    <t>Food</t>
  </si>
  <si>
    <t>Vegetables</t>
  </si>
  <si>
    <t>Fruit</t>
  </si>
  <si>
    <t>Leaves</t>
  </si>
  <si>
    <t>Waste</t>
  </si>
  <si>
    <t>Source</t>
  </si>
  <si>
    <t>Reaction time (hour)</t>
  </si>
  <si>
    <t>Precursor's Mass (g)</t>
  </si>
  <si>
    <t>Water (g)</t>
  </si>
  <si>
    <t>Doped</t>
  </si>
  <si>
    <t>Particle Size (nm)</t>
  </si>
  <si>
    <t>Fluorescence</t>
  </si>
  <si>
    <t>Carbon (%)</t>
  </si>
  <si>
    <t>Oxigen (%)</t>
  </si>
  <si>
    <t>Nitrogen (%)</t>
  </si>
  <si>
    <t>Reference</t>
  </si>
  <si>
    <t>Chemical Composition</t>
  </si>
  <si>
    <t>Aluminum (%)</t>
  </si>
  <si>
    <t>Silver (%)</t>
  </si>
  <si>
    <t>Sulfur (%)</t>
  </si>
  <si>
    <t>Hydrogen (%)</t>
  </si>
  <si>
    <t>Potassium (%)</t>
  </si>
  <si>
    <t>Sodium (%)</t>
  </si>
  <si>
    <t>Indium (%)</t>
  </si>
  <si>
    <t>Calcium (%)</t>
  </si>
  <si>
    <t>Maginesium (%)</t>
  </si>
  <si>
    <t>Phosphorus (%)</t>
  </si>
  <si>
    <t>Chlorine (%)</t>
  </si>
  <si>
    <t>Silicon (%)</t>
  </si>
  <si>
    <t>Copper (%)</t>
  </si>
  <si>
    <t>Platinum (%)</t>
  </si>
  <si>
    <t>Iron (%)</t>
  </si>
  <si>
    <t>Titanium (%)</t>
  </si>
  <si>
    <t>Fourier Transform Infrared Spectroscopy (FTRI)'s bonds</t>
  </si>
  <si>
    <t>X-ray photoelectron spectroscopy (XPS)'s bonds</t>
  </si>
  <si>
    <t>Reaction conditions</t>
  </si>
  <si>
    <t>Characterization and Optical properties</t>
  </si>
  <si>
    <t>Reaction Temperature (℃)</t>
  </si>
  <si>
    <t>Synthesis Yield (%)</t>
  </si>
  <si>
    <t>Quantum Yield (%)</t>
  </si>
  <si>
    <t>Maximum emission (nm)</t>
  </si>
  <si>
    <t>Maximum excitation (nm)</t>
  </si>
  <si>
    <t>Stokes Shifts (nm)</t>
  </si>
  <si>
    <t>Title: OptiDots: A Database for Machine Learning-Driven Green Synthesis Optimization of Carbon Dots 
Authors: Kelvin Goularte dos Santos, Humberto Gracher Riella, Cíntia Soares, Natan Padoin  
Affiliations: Laboratory of Materials and Scientific Computing (LabMAC), Department of Chemical and Food Engineering, Federal University of Santa Catarina (UFSC), Florianópolis, SC, 88040-900,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</si>
</sst>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  <font>
      <sz val="12"/>
      <color rgb="FF1F1F1F"/>
      <name val="Times New Roman"/>
      <family val="1"/>
    </font>
    <font>
      <sz val="12"/>
      <color rgb="FF00314C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7" xfId="0" applyBorder="1"/>
    <xf numFmtId="0" fontId="2" fillId="0" borderId="7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118</xdr:row>
      <xdr:rowOff>167641</xdr:rowOff>
    </xdr:from>
    <xdr:to>
      <xdr:col>49</xdr:col>
      <xdr:colOff>160692</xdr:colOff>
      <xdr:row>133</xdr:row>
      <xdr:rowOff>70871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5E349E-B796-4AB2-8CDE-EA12E2BAE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96150" y="21383626"/>
          <a:ext cx="4020222" cy="284074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136</xdr:row>
      <xdr:rowOff>19050</xdr:rowOff>
    </xdr:from>
    <xdr:to>
      <xdr:col>44</xdr:col>
      <xdr:colOff>47625</xdr:colOff>
      <xdr:row>145</xdr:row>
      <xdr:rowOff>163672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20F90E-8C18-43AA-9852-E82AEDA5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96150" y="24484965"/>
          <a:ext cx="2040255" cy="1912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3390/s23020787" TargetMode="External"/><Relationship Id="rId21" Type="http://schemas.openxmlformats.org/officeDocument/2006/relationships/hyperlink" Target="https://doi.org/10.1039/c8nj00432c" TargetMode="External"/><Relationship Id="rId42" Type="http://schemas.openxmlformats.org/officeDocument/2006/relationships/hyperlink" Target="https://doi.org/10.1016/j.msec.2017.03.178" TargetMode="External"/><Relationship Id="rId47" Type="http://schemas.openxmlformats.org/officeDocument/2006/relationships/hyperlink" Target="https://doi.org/10.1007/s10895-019-02474-1" TargetMode="External"/><Relationship Id="rId63" Type="http://schemas.openxmlformats.org/officeDocument/2006/relationships/hyperlink" Target="https://doi.org/10.1016/j.saa.2019.01.066" TargetMode="External"/><Relationship Id="rId68" Type="http://schemas.openxmlformats.org/officeDocument/2006/relationships/hyperlink" Target="https://doi.org/10.1016/j.saa.2019.01.079" TargetMode="External"/><Relationship Id="rId84" Type="http://schemas.openxmlformats.org/officeDocument/2006/relationships/hyperlink" Target="https://doi.org/10.1016/j.saa.2019.117659" TargetMode="External"/><Relationship Id="rId89" Type="http://schemas.openxmlformats.org/officeDocument/2006/relationships/hyperlink" Target="https://doi.org/10.1016/j.talanta.2018.09.069" TargetMode="External"/><Relationship Id="rId16" Type="http://schemas.openxmlformats.org/officeDocument/2006/relationships/hyperlink" Target="https://doi.org/10.1016/j.chemosphere.2021.131764" TargetMode="External"/><Relationship Id="rId107" Type="http://schemas.openxmlformats.org/officeDocument/2006/relationships/drawing" Target="../drawings/drawing1.xml"/><Relationship Id="rId11" Type="http://schemas.openxmlformats.org/officeDocument/2006/relationships/hyperlink" Target="https://doi.org/10.1016/j.fuel.2020.117821" TargetMode="External"/><Relationship Id="rId32" Type="http://schemas.openxmlformats.org/officeDocument/2006/relationships/hyperlink" Target="https://doi.org/10.1016/j.microc.2020.105357" TargetMode="External"/><Relationship Id="rId37" Type="http://schemas.openxmlformats.org/officeDocument/2006/relationships/hyperlink" Target="https://doi.org/10.1016/j.jece.2020.103720" TargetMode="External"/><Relationship Id="rId53" Type="http://schemas.openxmlformats.org/officeDocument/2006/relationships/hyperlink" Target="https://doi.org/10.1016/j.jece.2019.103013" TargetMode="External"/><Relationship Id="rId58" Type="http://schemas.openxmlformats.org/officeDocument/2006/relationships/hyperlink" Target="https://doi.org/10.1007/s10895-023-03188-1" TargetMode="External"/><Relationship Id="rId74" Type="http://schemas.openxmlformats.org/officeDocument/2006/relationships/hyperlink" Target="https://doi.org/10.1007/s11426-016-0022-y" TargetMode="External"/><Relationship Id="rId79" Type="http://schemas.openxmlformats.org/officeDocument/2006/relationships/hyperlink" Target="https://doi.org/10.1016/j.snb.2017.09.067" TargetMode="External"/><Relationship Id="rId102" Type="http://schemas.openxmlformats.org/officeDocument/2006/relationships/hyperlink" Target="https://doi.org/10.1016/j.apsusc.2015.07.095" TargetMode="External"/><Relationship Id="rId5" Type="http://schemas.openxmlformats.org/officeDocument/2006/relationships/hyperlink" Target="https://doi.org/10.3390/agronomy13010205" TargetMode="External"/><Relationship Id="rId90" Type="http://schemas.openxmlformats.org/officeDocument/2006/relationships/hyperlink" Target="https://doi.org/10.1016/j.fuel.2020.118682" TargetMode="External"/><Relationship Id="rId95" Type="http://schemas.openxmlformats.org/officeDocument/2006/relationships/hyperlink" Target="https://doi.org/10.1016/j.solener.2019.02.072" TargetMode="External"/><Relationship Id="rId22" Type="http://schemas.openxmlformats.org/officeDocument/2006/relationships/hyperlink" Target="https://doi.org/10.1016/j.talanta.2016.11.051" TargetMode="External"/><Relationship Id="rId27" Type="http://schemas.openxmlformats.org/officeDocument/2006/relationships/hyperlink" Target="https://doi.org/10.1016/j.molliq.2022.119522" TargetMode="External"/><Relationship Id="rId43" Type="http://schemas.openxmlformats.org/officeDocument/2006/relationships/hyperlink" Target="http://dx.doi.org/10.17159/sajs.2023/13921" TargetMode="External"/><Relationship Id="rId48" Type="http://schemas.openxmlformats.org/officeDocument/2006/relationships/hyperlink" Target="https://doi.org/10.1039/c5ra12976a" TargetMode="External"/><Relationship Id="rId64" Type="http://schemas.openxmlformats.org/officeDocument/2006/relationships/hyperlink" Target="https://doi.org/10.1016/j.jphotochem.2018.12.011" TargetMode="External"/><Relationship Id="rId69" Type="http://schemas.openxmlformats.org/officeDocument/2006/relationships/hyperlink" Target="https://doi.org/10.1016/j.saa.2023.123413" TargetMode="External"/><Relationship Id="rId80" Type="http://schemas.openxmlformats.org/officeDocument/2006/relationships/hyperlink" Target="https://doi.org/10.1039/c4nj00840e" TargetMode="External"/><Relationship Id="rId85" Type="http://schemas.openxmlformats.org/officeDocument/2006/relationships/hyperlink" Target="https://doi.org/10.1016/j.snb.2017.06.088" TargetMode="External"/><Relationship Id="rId12" Type="http://schemas.openxmlformats.org/officeDocument/2006/relationships/hyperlink" Target="http://dx.doi.org/10.1016/j.ceramint.2017.02.127" TargetMode="External"/><Relationship Id="rId17" Type="http://schemas.openxmlformats.org/officeDocument/2006/relationships/hyperlink" Target="https://doi.org/10.1016/j.apsusc.2021.149503" TargetMode="External"/><Relationship Id="rId33" Type="http://schemas.openxmlformats.org/officeDocument/2006/relationships/hyperlink" Target="https://doi.org/10.1039/c3tb20418a" TargetMode="External"/><Relationship Id="rId38" Type="http://schemas.openxmlformats.org/officeDocument/2006/relationships/hyperlink" Target="https://doi.org/10.1007/s00253-020-10726-5" TargetMode="External"/><Relationship Id="rId59" Type="http://schemas.openxmlformats.org/officeDocument/2006/relationships/hyperlink" Target="https://doi.org/10.1039/c6tb02071b" TargetMode="External"/><Relationship Id="rId103" Type="http://schemas.openxmlformats.org/officeDocument/2006/relationships/hyperlink" Target="https://doi:10.3762/bjnano.9.51" TargetMode="External"/><Relationship Id="rId20" Type="http://schemas.openxmlformats.org/officeDocument/2006/relationships/hyperlink" Target="https://doi.org/10.1016/j.bios.2016.04.089" TargetMode="External"/><Relationship Id="rId41" Type="http://schemas.openxmlformats.org/officeDocument/2006/relationships/hyperlink" Target="https://doi.org/10.1021/ac502646x" TargetMode="External"/><Relationship Id="rId54" Type="http://schemas.openxmlformats.org/officeDocument/2006/relationships/hyperlink" Target="https://doi.org/10.3390/ma13153356" TargetMode="External"/><Relationship Id="rId62" Type="http://schemas.openxmlformats.org/officeDocument/2006/relationships/hyperlink" Target="https://doi.org/10.1101/2021.11.29.470381" TargetMode="External"/><Relationship Id="rId70" Type="http://schemas.openxmlformats.org/officeDocument/2006/relationships/hyperlink" Target="https://doi.org/10.1039/D1RA01318A" TargetMode="External"/><Relationship Id="rId75" Type="http://schemas.openxmlformats.org/officeDocument/2006/relationships/hyperlink" Target="https://doi.org/10.1016/j.chemosphere.2021.131915" TargetMode="External"/><Relationship Id="rId83" Type="http://schemas.openxmlformats.org/officeDocument/2006/relationships/hyperlink" Target="https://doi.org/10.1016/j.jcis.2020.06.034" TargetMode="External"/><Relationship Id="rId88" Type="http://schemas.openxmlformats.org/officeDocument/2006/relationships/hyperlink" Target="https://doi.org/10.1166/jnn.2018.15356" TargetMode="External"/><Relationship Id="rId91" Type="http://schemas.openxmlformats.org/officeDocument/2006/relationships/hyperlink" Target="https://doi.org/10.1007/s10895-014-1465-1" TargetMode="External"/><Relationship Id="rId96" Type="http://schemas.openxmlformats.org/officeDocument/2006/relationships/hyperlink" Target="https://doi.org/10.1088/0957-4484/25/31/315702" TargetMode="External"/><Relationship Id="rId1" Type="http://schemas.openxmlformats.org/officeDocument/2006/relationships/hyperlink" Target="https://doi.org/10.1007/s10853-023-08912-7" TargetMode="External"/><Relationship Id="rId6" Type="http://schemas.openxmlformats.org/officeDocument/2006/relationships/hyperlink" Target="https://doi.org/10.1021/ie402421s" TargetMode="External"/><Relationship Id="rId15" Type="http://schemas.openxmlformats.org/officeDocument/2006/relationships/hyperlink" Target="https://doi.org/10.1016/j.microc.2019.05.026" TargetMode="External"/><Relationship Id="rId23" Type="http://schemas.openxmlformats.org/officeDocument/2006/relationships/hyperlink" Target="https://doi.org/10.1039/C4RA12077A" TargetMode="External"/><Relationship Id="rId28" Type="http://schemas.openxmlformats.org/officeDocument/2006/relationships/hyperlink" Target="https://doi.org/10.1016/j.jece.2021.105461" TargetMode="External"/><Relationship Id="rId36" Type="http://schemas.openxmlformats.org/officeDocument/2006/relationships/hyperlink" Target="https://doi.org/10.1016/j.aca.2022.340368" TargetMode="External"/><Relationship Id="rId49" Type="http://schemas.openxmlformats.org/officeDocument/2006/relationships/hyperlink" Target="https://doi.org/10.1039/C3RA00088E" TargetMode="External"/><Relationship Id="rId57" Type="http://schemas.openxmlformats.org/officeDocument/2006/relationships/hyperlink" Target="https://doi.org/10.1016/j.susmat.2019.e00138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016/j.colsurfb.2018.05.032" TargetMode="External"/><Relationship Id="rId31" Type="http://schemas.openxmlformats.org/officeDocument/2006/relationships/hyperlink" Target="https://doi.org/10.1016/j.snb.2014.02.053" TargetMode="External"/><Relationship Id="rId44" Type="http://schemas.openxmlformats.org/officeDocument/2006/relationships/hyperlink" Target="https://doi.org/10.1016/j.snb.2016.06.092" TargetMode="External"/><Relationship Id="rId52" Type="http://schemas.openxmlformats.org/officeDocument/2006/relationships/hyperlink" Target="https://doi.org/10.1016/j.jtice.2021.09.015" TargetMode="External"/><Relationship Id="rId60" Type="http://schemas.openxmlformats.org/officeDocument/2006/relationships/hyperlink" Target="https://doi.org/10.1016/j.jiec.2018.10.007" TargetMode="External"/><Relationship Id="rId65" Type="http://schemas.openxmlformats.org/officeDocument/2006/relationships/hyperlink" Target="https://doi.org/10.1007/s10895-015-1595-0" TargetMode="External"/><Relationship Id="rId73" Type="http://schemas.openxmlformats.org/officeDocument/2006/relationships/hyperlink" Target="https://doi.org/10.1021/acsomega.8b02463" TargetMode="External"/><Relationship Id="rId78" Type="http://schemas.openxmlformats.org/officeDocument/2006/relationships/hyperlink" Target="https://doi.org/10.1016/j.msec.2019.01.041" TargetMode="External"/><Relationship Id="rId81" Type="http://schemas.openxmlformats.org/officeDocument/2006/relationships/hyperlink" Target="https://doi.org/10.1007/s13204-024-03036-z" TargetMode="External"/><Relationship Id="rId86" Type="http://schemas.openxmlformats.org/officeDocument/2006/relationships/hyperlink" Target="https://doi.org/10.1002/slct.202303994" TargetMode="External"/><Relationship Id="rId94" Type="http://schemas.openxmlformats.org/officeDocument/2006/relationships/hyperlink" Target="https://doi.org/10.1016/j.carbon.2021.03.047" TargetMode="External"/><Relationship Id="rId99" Type="http://schemas.openxmlformats.org/officeDocument/2006/relationships/hyperlink" Target="https://doi.org/10.1016/j.chemosphere.2021.130515" TargetMode="External"/><Relationship Id="rId101" Type="http://schemas.openxmlformats.org/officeDocument/2006/relationships/hyperlink" Target="https://doi.org/10.1016/j.saa.2018.04.029" TargetMode="External"/><Relationship Id="rId4" Type="http://schemas.openxmlformats.org/officeDocument/2006/relationships/hyperlink" Target="https://doi.org/10.1016/j.snb.2017.11.096" TargetMode="External"/><Relationship Id="rId9" Type="http://schemas.openxmlformats.org/officeDocument/2006/relationships/hyperlink" Target="https://doi.org/10.1016/j.jphotobiol.2016.03.010" TargetMode="External"/><Relationship Id="rId13" Type="http://schemas.openxmlformats.org/officeDocument/2006/relationships/hyperlink" Target="https://doi.org/10.1039/C5RA17439B" TargetMode="External"/><Relationship Id="rId18" Type="http://schemas.openxmlformats.org/officeDocument/2006/relationships/hyperlink" Target="https://doi.org/10.1016/j.saa.2021.120132" TargetMode="External"/><Relationship Id="rId39" Type="http://schemas.openxmlformats.org/officeDocument/2006/relationships/hyperlink" Target="https://doi.org/10.31018/jans.v13i4.2916" TargetMode="External"/><Relationship Id="rId34" Type="http://schemas.openxmlformats.org/officeDocument/2006/relationships/hyperlink" Target="https://doi.org/10.1016/j.aca.2022.340368" TargetMode="External"/><Relationship Id="rId50" Type="http://schemas.openxmlformats.org/officeDocument/2006/relationships/hyperlink" Target="https://doi.org/10.1016/j.colsurfb.2018.04.008" TargetMode="External"/><Relationship Id="rId55" Type="http://schemas.openxmlformats.org/officeDocument/2006/relationships/hyperlink" Target="https://doi.org/10.1038/s41598-022-14704-x" TargetMode="External"/><Relationship Id="rId76" Type="http://schemas.openxmlformats.org/officeDocument/2006/relationships/hyperlink" Target="https://doi.org/10.1007/s11694-023-01988-4" TargetMode="External"/><Relationship Id="rId97" Type="http://schemas.openxmlformats.org/officeDocument/2006/relationships/hyperlink" Target="https://doi.org/10.1016/j.physe.2020.114417" TargetMode="External"/><Relationship Id="rId104" Type="http://schemas.openxmlformats.org/officeDocument/2006/relationships/hyperlink" Target="https://doi.org/10.1016/j.microc.2021.106222" TargetMode="External"/><Relationship Id="rId7" Type="http://schemas.openxmlformats.org/officeDocument/2006/relationships/hyperlink" Target="https://doi.org/10.1007/s11426-014-5256-y" TargetMode="External"/><Relationship Id="rId71" Type="http://schemas.openxmlformats.org/officeDocument/2006/relationships/hyperlink" Target="https://doi.org/10.1039/D1RA01318A" TargetMode="External"/><Relationship Id="rId92" Type="http://schemas.openxmlformats.org/officeDocument/2006/relationships/hyperlink" Target="https://doi.org/10.1007/s10895-014-1465-1" TargetMode="External"/><Relationship Id="rId2" Type="http://schemas.openxmlformats.org/officeDocument/2006/relationships/hyperlink" Target="https://doi.org/10.1039/c8nj05783d" TargetMode="External"/><Relationship Id="rId29" Type="http://schemas.openxmlformats.org/officeDocument/2006/relationships/hyperlink" Target="https://doi.org/10.1016/j.jphotochem.2018.12.028" TargetMode="External"/><Relationship Id="rId24" Type="http://schemas.openxmlformats.org/officeDocument/2006/relationships/hyperlink" Target="https://doi.org/10.1016/j.jphotobiol.2020.112014" TargetMode="External"/><Relationship Id="rId40" Type="http://schemas.openxmlformats.org/officeDocument/2006/relationships/hyperlink" Target="https://doi.org/10.1371/journal.pone.0230646" TargetMode="External"/><Relationship Id="rId45" Type="http://schemas.openxmlformats.org/officeDocument/2006/relationships/hyperlink" Target="https://doi.org/10.1016/j.dyepig.2020.108640" TargetMode="External"/><Relationship Id="rId66" Type="http://schemas.openxmlformats.org/officeDocument/2006/relationships/hyperlink" Target="https://doi.org/10.1021/acsomega.9b01333" TargetMode="External"/><Relationship Id="rId87" Type="http://schemas.openxmlformats.org/officeDocument/2006/relationships/hyperlink" Target="https://doi.org/10.1002/slct.202303994" TargetMode="External"/><Relationship Id="rId61" Type="http://schemas.openxmlformats.org/officeDocument/2006/relationships/hyperlink" Target="https://doi.org/10.1101/2021.11.29.470381" TargetMode="External"/><Relationship Id="rId82" Type="http://schemas.openxmlformats.org/officeDocument/2006/relationships/hyperlink" Target="https://doi.org/10.1016/j.aca.2018.05.014" TargetMode="External"/><Relationship Id="rId19" Type="http://schemas.openxmlformats.org/officeDocument/2006/relationships/hyperlink" Target="https://doi.org/10.1016/j.bios.2016.04.089" TargetMode="External"/><Relationship Id="rId14" Type="http://schemas.openxmlformats.org/officeDocument/2006/relationships/hyperlink" Target="https://doi.org/10.1016/j.colsurfb.2022.112926" TargetMode="External"/><Relationship Id="rId30" Type="http://schemas.openxmlformats.org/officeDocument/2006/relationships/hyperlink" Target="https://doi.org/10.1016/j.jphotochem.2018.12.028" TargetMode="External"/><Relationship Id="rId35" Type="http://schemas.openxmlformats.org/officeDocument/2006/relationships/hyperlink" Target="https://doi.org/10.1016/j.aca.2022.340368" TargetMode="External"/><Relationship Id="rId56" Type="http://schemas.openxmlformats.org/officeDocument/2006/relationships/hyperlink" Target="https://doi.org/10.1038/s41598-022-14704-x" TargetMode="External"/><Relationship Id="rId77" Type="http://schemas.openxmlformats.org/officeDocument/2006/relationships/hyperlink" Target="https://doi.org/10.1039/c2cc33796g" TargetMode="External"/><Relationship Id="rId100" Type="http://schemas.openxmlformats.org/officeDocument/2006/relationships/hyperlink" Target="https://doi.org/10.1016/j.jcis.2018.12.047" TargetMode="External"/><Relationship Id="rId105" Type="http://schemas.openxmlformats.org/officeDocument/2006/relationships/hyperlink" Target="https://doi.org/10.1016/j.jhazmat.2021.125091" TargetMode="External"/><Relationship Id="rId8" Type="http://schemas.openxmlformats.org/officeDocument/2006/relationships/hyperlink" Target="https://doi.org/10.1039/c4ay02737j" TargetMode="External"/><Relationship Id="rId51" Type="http://schemas.openxmlformats.org/officeDocument/2006/relationships/hyperlink" Target="https://doi.org/10.3390/s19225008" TargetMode="External"/><Relationship Id="rId72" Type="http://schemas.openxmlformats.org/officeDocument/2006/relationships/hyperlink" Target="https://doi.org/10.1039/D1RA01318A" TargetMode="External"/><Relationship Id="rId93" Type="http://schemas.openxmlformats.org/officeDocument/2006/relationships/hyperlink" Target="https://doi.org/10.1016/j.envres.2021.112365" TargetMode="External"/><Relationship Id="rId98" Type="http://schemas.openxmlformats.org/officeDocument/2006/relationships/hyperlink" Target="https://doi.org/10.1016/j.ijleo.2017.12.200" TargetMode="External"/><Relationship Id="rId3" Type="http://schemas.openxmlformats.org/officeDocument/2006/relationships/hyperlink" Target="https://doi.org/10.1021/acsbiomaterials.2c01537" TargetMode="External"/><Relationship Id="rId25" Type="http://schemas.openxmlformats.org/officeDocument/2006/relationships/hyperlink" Target="https://doi.org/10.1016/j.optmat.2019.03.054" TargetMode="External"/><Relationship Id="rId46" Type="http://schemas.openxmlformats.org/officeDocument/2006/relationships/hyperlink" Target="https://doi.org/10.1016/j.optmat.2019.109356" TargetMode="External"/><Relationship Id="rId67" Type="http://schemas.openxmlformats.org/officeDocument/2006/relationships/hyperlink" Target="https://doi.org/10.3390/molecules27196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46F6-75C2-4F41-9071-08DAB233ACE3}">
  <dimension ref="A1:DD734"/>
  <sheetViews>
    <sheetView showGridLines="0" tabSelected="1" workbookViewId="0">
      <selection sqref="A1:BL1"/>
    </sheetView>
  </sheetViews>
  <sheetFormatPr defaultRowHeight="15.6" x14ac:dyDescent="0.3"/>
  <cols>
    <col min="1" max="1" width="52.109375" style="2" bestFit="1" customWidth="1"/>
    <col min="2" max="2" width="5.21875" style="3" bestFit="1" customWidth="1"/>
    <col min="3" max="3" width="10.6640625" style="3" bestFit="1" customWidth="1"/>
    <col min="4" max="4" width="7.21875" style="3" bestFit="1" customWidth="1"/>
    <col min="5" max="5" width="7.44140625" style="3" bestFit="1" customWidth="1"/>
    <col min="6" max="6" width="6.44140625" style="3" bestFit="1" customWidth="1"/>
    <col min="7" max="7" width="5.5546875" style="4" bestFit="1" customWidth="1"/>
    <col min="8" max="8" width="19.33203125" style="2" bestFit="1" customWidth="1"/>
    <col min="9" max="9" width="25.109375" style="3" bestFit="1" customWidth="1"/>
    <col min="10" max="10" width="19.44140625" style="3" bestFit="1" customWidth="1"/>
    <col min="11" max="11" width="9.44140625" style="3" bestFit="1" customWidth="1"/>
    <col min="12" max="12" width="6.88671875" style="4" bestFit="1" customWidth="1"/>
    <col min="13" max="13" width="19" style="19" bestFit="1" customWidth="1"/>
    <col min="14" max="14" width="17" style="19" bestFit="1" customWidth="1"/>
    <col min="15" max="15" width="18.44140625" style="19" bestFit="1" customWidth="1"/>
    <col min="16" max="16" width="23" style="19" bestFit="1" customWidth="1"/>
    <col min="17" max="17" width="23.77734375" style="19" bestFit="1" customWidth="1"/>
    <col min="18" max="18" width="17.21875" style="19" bestFit="1" customWidth="1"/>
    <col min="19" max="19" width="12.6640625" style="19" bestFit="1" customWidth="1"/>
    <col min="20" max="20" width="13.33203125" style="2" bestFit="1" customWidth="1"/>
    <col min="21" max="21" width="13.33203125" style="3" bestFit="1" customWidth="1"/>
    <col min="22" max="22" width="12.6640625" style="3" bestFit="1" customWidth="1"/>
    <col min="23" max="23" width="14.109375" style="3" bestFit="1" customWidth="1"/>
    <col min="24" max="24" width="10.44140625" style="3" bestFit="1" customWidth="1"/>
    <col min="25" max="25" width="12.109375" style="3" bestFit="1" customWidth="1"/>
    <col min="26" max="26" width="13.6640625" style="3" bestFit="1" customWidth="1"/>
    <col min="27" max="27" width="14" style="3" bestFit="1" customWidth="1"/>
    <col min="28" max="28" width="11.6640625" style="3" bestFit="1" customWidth="1"/>
    <col min="29" max="29" width="11" style="3" bestFit="1" customWidth="1"/>
    <col min="30" max="30" width="12.33203125" style="3" bestFit="1" customWidth="1"/>
    <col min="31" max="31" width="15.77734375" style="3" bestFit="1" customWidth="1"/>
    <col min="32" max="32" width="15.21875" style="3" bestFit="1" customWidth="1"/>
    <col min="33" max="33" width="12.6640625" style="3" bestFit="1" customWidth="1"/>
    <col min="34" max="34" width="11.33203125" style="3" bestFit="1" customWidth="1"/>
    <col min="35" max="35" width="11.5546875" style="3" bestFit="1" customWidth="1"/>
    <col min="36" max="36" width="12.6640625" style="3" bestFit="1" customWidth="1"/>
    <col min="37" max="37" width="8.5546875" style="3" bestFit="1" customWidth="1"/>
    <col min="38" max="38" width="12.77734375" style="4" bestFit="1" customWidth="1"/>
    <col min="39" max="39" width="5.109375" style="2" bestFit="1" customWidth="1"/>
    <col min="40" max="40" width="4.44140625" style="3" bestFit="1" customWidth="1"/>
    <col min="41" max="41" width="4.6640625" style="3" bestFit="1" customWidth="1"/>
    <col min="42" max="43" width="4.77734375" style="3" bestFit="1" customWidth="1"/>
    <col min="44" max="44" width="5.21875" style="3" bestFit="1" customWidth="1"/>
    <col min="45" max="45" width="4.77734375" style="3" bestFit="1" customWidth="1"/>
    <col min="46" max="46" width="7" style="3" bestFit="1" customWidth="1"/>
    <col min="47" max="47" width="4.5546875" style="3" bestFit="1" customWidth="1"/>
    <col min="48" max="48" width="6.33203125" style="3" bestFit="1" customWidth="1"/>
    <col min="49" max="49" width="4.5546875" style="3" bestFit="1" customWidth="1"/>
    <col min="50" max="50" width="4.44140625" style="3" bestFit="1" customWidth="1"/>
    <col min="51" max="51" width="4.88671875" style="3" bestFit="1" customWidth="1"/>
    <col min="52" max="52" width="4.44140625" style="3" bestFit="1" customWidth="1"/>
    <col min="53" max="53" width="5" style="3" bestFit="1" customWidth="1"/>
    <col min="54" max="54" width="4.5546875" style="3" bestFit="1" customWidth="1"/>
    <col min="55" max="55" width="7.109375" style="3" bestFit="1" customWidth="1"/>
    <col min="56" max="56" width="7.5546875" style="3" bestFit="1" customWidth="1"/>
    <col min="57" max="57" width="7.44140625" style="3" bestFit="1" customWidth="1"/>
    <col min="58" max="58" width="7" style="3" bestFit="1" customWidth="1"/>
    <col min="59" max="59" width="4.88671875" style="3" bestFit="1" customWidth="1"/>
    <col min="60" max="60" width="5.33203125" style="3" bestFit="1" customWidth="1"/>
    <col min="61" max="61" width="6.21875" style="3" bestFit="1" customWidth="1"/>
    <col min="62" max="63" width="5.21875" style="3" bestFit="1" customWidth="1"/>
    <col min="64" max="64" width="17.21875" style="3" bestFit="1" customWidth="1"/>
    <col min="65" max="65" width="15.44140625" style="3" bestFit="1" customWidth="1"/>
    <col min="66" max="67" width="9.109375" style="3" bestFit="1" customWidth="1"/>
    <col min="68" max="68" width="7.21875" style="3" bestFit="1" customWidth="1"/>
    <col min="69" max="69" width="7" style="3" bestFit="1" customWidth="1"/>
    <col min="70" max="70" width="4.88671875" style="3" bestFit="1" customWidth="1"/>
    <col min="71" max="71" width="3" style="3" bestFit="1" customWidth="1"/>
    <col min="72" max="72" width="6.88671875" style="3" bestFit="1" customWidth="1"/>
    <col min="73" max="73" width="5" style="3" bestFit="1" customWidth="1"/>
    <col min="74" max="74" width="4.5546875" style="3" bestFit="1" customWidth="1"/>
    <col min="75" max="75" width="8.109375" style="3" bestFit="1" customWidth="1"/>
    <col min="76" max="76" width="5.33203125" style="3" bestFit="1" customWidth="1"/>
    <col min="77" max="77" width="8.109375" style="4" bestFit="1" customWidth="1"/>
    <col min="78" max="78" width="6.33203125" style="2" bestFit="1" customWidth="1"/>
    <col min="79" max="79" width="5.21875" style="3" bestFit="1" customWidth="1"/>
    <col min="80" max="82" width="4.77734375" style="3" bestFit="1" customWidth="1"/>
    <col min="83" max="84" width="4.88671875" style="3" bestFit="1" customWidth="1"/>
    <col min="85" max="85" width="4.5546875" style="3" bestFit="1" customWidth="1"/>
    <col min="86" max="86" width="7.6640625" style="3" bestFit="1" customWidth="1"/>
    <col min="87" max="87" width="4.77734375" style="3" bestFit="1" customWidth="1"/>
    <col min="88" max="88" width="4.44140625" style="3" bestFit="1" customWidth="1"/>
    <col min="89" max="89" width="4.6640625" style="3" bestFit="1" customWidth="1"/>
    <col min="90" max="90" width="5.109375" style="3" bestFit="1" customWidth="1"/>
    <col min="91" max="91" width="6.33203125" style="3" bestFit="1" customWidth="1"/>
    <col min="92" max="92" width="9.109375" style="3" bestFit="1" customWidth="1"/>
    <col min="93" max="93" width="7.5546875" style="3" bestFit="1" customWidth="1"/>
    <col min="94" max="94" width="8" style="3" bestFit="1" customWidth="1"/>
    <col min="95" max="95" width="7" style="3" bestFit="1" customWidth="1"/>
    <col min="96" max="96" width="5.88671875" style="3" bestFit="1" customWidth="1"/>
    <col min="97" max="97" width="7" style="3" bestFit="1" customWidth="1"/>
    <col min="98" max="98" width="9.109375" style="3" bestFit="1" customWidth="1"/>
    <col min="99" max="99" width="7.109375" style="3" bestFit="1" customWidth="1"/>
    <col min="100" max="100" width="4.88671875" style="3" bestFit="1" customWidth="1"/>
    <col min="101" max="101" width="5.33203125" style="3" bestFit="1" customWidth="1"/>
    <col min="102" max="102" width="4.5546875" style="3" bestFit="1" customWidth="1"/>
    <col min="103" max="103" width="4.88671875" style="3" bestFit="1" customWidth="1"/>
    <col min="104" max="104" width="7.21875" style="3" bestFit="1" customWidth="1"/>
    <col min="105" max="105" width="5" style="3" bestFit="1" customWidth="1"/>
    <col min="106" max="106" width="5.33203125" style="3" bestFit="1" customWidth="1"/>
    <col min="107" max="107" width="6.6640625" style="4" bestFit="1" customWidth="1"/>
    <col min="108" max="108" width="48.109375" style="19" bestFit="1" customWidth="1"/>
  </cols>
  <sheetData>
    <row r="1" spans="1:108" s="37" customFormat="1" ht="66" customHeight="1" x14ac:dyDescent="0.3">
      <c r="A1" s="39" t="s">
        <v>422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</row>
    <row r="2" spans="1:108" x14ac:dyDescent="0.3">
      <c r="A2" s="34" t="s">
        <v>384</v>
      </c>
      <c r="B2" s="35"/>
      <c r="C2" s="35"/>
      <c r="D2" s="35"/>
      <c r="E2" s="35"/>
      <c r="F2" s="35"/>
      <c r="G2" s="36"/>
      <c r="H2" s="34" t="s">
        <v>414</v>
      </c>
      <c r="I2" s="35"/>
      <c r="J2" s="35"/>
      <c r="K2" s="35"/>
      <c r="L2" s="36"/>
      <c r="M2" s="34" t="s">
        <v>415</v>
      </c>
      <c r="N2" s="35"/>
      <c r="O2" s="35"/>
      <c r="P2" s="35"/>
      <c r="Q2" s="35"/>
      <c r="R2" s="35"/>
      <c r="S2" s="36"/>
      <c r="T2" s="34" t="s">
        <v>395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6"/>
      <c r="AM2" s="34" t="s">
        <v>412</v>
      </c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6"/>
      <c r="BZ2" s="34" t="s">
        <v>413</v>
      </c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6"/>
      <c r="DD2" s="33" t="s">
        <v>394</v>
      </c>
    </row>
    <row r="3" spans="1:108" x14ac:dyDescent="0.3">
      <c r="A3" s="28" t="s">
        <v>378</v>
      </c>
      <c r="B3" s="29" t="s">
        <v>381</v>
      </c>
      <c r="C3" s="29" t="s">
        <v>380</v>
      </c>
      <c r="D3" s="29" t="s">
        <v>382</v>
      </c>
      <c r="E3" s="29" t="s">
        <v>0</v>
      </c>
      <c r="F3" s="29" t="s">
        <v>383</v>
      </c>
      <c r="G3" s="30" t="s">
        <v>379</v>
      </c>
      <c r="H3" s="28" t="s">
        <v>385</v>
      </c>
      <c r="I3" s="29" t="s">
        <v>416</v>
      </c>
      <c r="J3" s="29" t="s">
        <v>386</v>
      </c>
      <c r="K3" s="29" t="s">
        <v>387</v>
      </c>
      <c r="L3" s="30" t="s">
        <v>388</v>
      </c>
      <c r="M3" s="28" t="s">
        <v>417</v>
      </c>
      <c r="N3" s="29" t="s">
        <v>389</v>
      </c>
      <c r="O3" s="29" t="s">
        <v>418</v>
      </c>
      <c r="P3" s="29" t="s">
        <v>419</v>
      </c>
      <c r="Q3" s="29" t="s">
        <v>420</v>
      </c>
      <c r="R3" s="29" t="s">
        <v>421</v>
      </c>
      <c r="S3" s="30" t="s">
        <v>390</v>
      </c>
      <c r="T3" s="28" t="s">
        <v>391</v>
      </c>
      <c r="U3" s="29" t="s">
        <v>392</v>
      </c>
      <c r="V3" s="29" t="s">
        <v>393</v>
      </c>
      <c r="W3" s="29" t="s">
        <v>396</v>
      </c>
      <c r="X3" s="29" t="s">
        <v>397</v>
      </c>
      <c r="Y3" s="29" t="s">
        <v>398</v>
      </c>
      <c r="Z3" s="29" t="s">
        <v>399</v>
      </c>
      <c r="AA3" s="29" t="s">
        <v>400</v>
      </c>
      <c r="AB3" s="29" t="s">
        <v>401</v>
      </c>
      <c r="AC3" s="29" t="s">
        <v>402</v>
      </c>
      <c r="AD3" s="29" t="s">
        <v>403</v>
      </c>
      <c r="AE3" s="29" t="s">
        <v>404</v>
      </c>
      <c r="AF3" s="29" t="s">
        <v>405</v>
      </c>
      <c r="AG3" s="29" t="s">
        <v>406</v>
      </c>
      <c r="AH3" s="29" t="s">
        <v>407</v>
      </c>
      <c r="AI3" s="29" t="s">
        <v>408</v>
      </c>
      <c r="AJ3" s="29" t="s">
        <v>409</v>
      </c>
      <c r="AK3" s="29" t="s">
        <v>410</v>
      </c>
      <c r="AL3" s="30" t="s">
        <v>411</v>
      </c>
      <c r="AM3" s="31" t="s">
        <v>3</v>
      </c>
      <c r="AN3" s="29" t="s">
        <v>4</v>
      </c>
      <c r="AO3" s="29" t="s">
        <v>5</v>
      </c>
      <c r="AP3" s="29" t="s">
        <v>6</v>
      </c>
      <c r="AQ3" s="29" t="s">
        <v>7</v>
      </c>
      <c r="AR3" s="29" t="s">
        <v>8</v>
      </c>
      <c r="AS3" s="29" t="s">
        <v>9</v>
      </c>
      <c r="AT3" s="29" t="s">
        <v>10</v>
      </c>
      <c r="AU3" s="29" t="s">
        <v>11</v>
      </c>
      <c r="AV3" s="29" t="s">
        <v>12</v>
      </c>
      <c r="AW3" s="29" t="s">
        <v>11</v>
      </c>
      <c r="AX3" s="29" t="s">
        <v>13</v>
      </c>
      <c r="AY3" s="29" t="s">
        <v>14</v>
      </c>
      <c r="AZ3" s="29" t="s">
        <v>15</v>
      </c>
      <c r="BA3" s="29" t="s">
        <v>16</v>
      </c>
      <c r="BB3" s="29" t="s">
        <v>17</v>
      </c>
      <c r="BC3" s="29" t="s">
        <v>18</v>
      </c>
      <c r="BD3" s="29" t="s">
        <v>19</v>
      </c>
      <c r="BE3" s="29" t="s">
        <v>20</v>
      </c>
      <c r="BF3" s="29" t="s">
        <v>21</v>
      </c>
      <c r="BG3" s="29" t="s">
        <v>22</v>
      </c>
      <c r="BH3" s="29" t="s">
        <v>23</v>
      </c>
      <c r="BI3" s="29" t="s">
        <v>24</v>
      </c>
      <c r="BJ3" s="29" t="s">
        <v>25</v>
      </c>
      <c r="BK3" s="29" t="s">
        <v>26</v>
      </c>
      <c r="BL3" s="29" t="s">
        <v>27</v>
      </c>
      <c r="BM3" s="29" t="s">
        <v>28</v>
      </c>
      <c r="BN3" s="29" t="s">
        <v>29</v>
      </c>
      <c r="BO3" s="29" t="s">
        <v>30</v>
      </c>
      <c r="BP3" s="29" t="s">
        <v>31</v>
      </c>
      <c r="BQ3" s="29" t="s">
        <v>32</v>
      </c>
      <c r="BR3" s="29" t="s">
        <v>33</v>
      </c>
      <c r="BS3" s="29" t="s">
        <v>34</v>
      </c>
      <c r="BT3" s="29" t="s">
        <v>35</v>
      </c>
      <c r="BU3" s="29" t="s">
        <v>36</v>
      </c>
      <c r="BV3" s="29" t="s">
        <v>37</v>
      </c>
      <c r="BW3" s="29" t="s">
        <v>38</v>
      </c>
      <c r="BX3" s="29" t="s">
        <v>39</v>
      </c>
      <c r="BY3" s="30" t="s">
        <v>40</v>
      </c>
      <c r="BZ3" s="28" t="s">
        <v>41</v>
      </c>
      <c r="CA3" s="29" t="s">
        <v>26</v>
      </c>
      <c r="CB3" s="29" t="s">
        <v>7</v>
      </c>
      <c r="CC3" s="29" t="s">
        <v>6</v>
      </c>
      <c r="CD3" s="29" t="s">
        <v>9</v>
      </c>
      <c r="CE3" s="29" t="s">
        <v>14</v>
      </c>
      <c r="CF3" s="29" t="s">
        <v>33</v>
      </c>
      <c r="CG3" s="29" t="s">
        <v>42</v>
      </c>
      <c r="CH3" s="29" t="s">
        <v>43</v>
      </c>
      <c r="CI3" s="29" t="s">
        <v>44</v>
      </c>
      <c r="CJ3" s="29" t="s">
        <v>15</v>
      </c>
      <c r="CK3" s="29" t="s">
        <v>5</v>
      </c>
      <c r="CL3" s="29" t="s">
        <v>3</v>
      </c>
      <c r="CM3" s="29" t="s">
        <v>12</v>
      </c>
      <c r="CN3" s="29" t="s">
        <v>29</v>
      </c>
      <c r="CO3" s="29" t="s">
        <v>45</v>
      </c>
      <c r="CP3" s="29" t="s">
        <v>46</v>
      </c>
      <c r="CQ3" s="29" t="s">
        <v>10</v>
      </c>
      <c r="CR3" s="29" t="s">
        <v>47</v>
      </c>
      <c r="CS3" s="29" t="s">
        <v>21</v>
      </c>
      <c r="CT3" s="29" t="s">
        <v>30</v>
      </c>
      <c r="CU3" s="29" t="s">
        <v>48</v>
      </c>
      <c r="CV3" s="29" t="s">
        <v>49</v>
      </c>
      <c r="CW3" s="29" t="s">
        <v>50</v>
      </c>
      <c r="CX3" s="29" t="s">
        <v>37</v>
      </c>
      <c r="CY3" s="29" t="s">
        <v>51</v>
      </c>
      <c r="CZ3" s="29" t="s">
        <v>31</v>
      </c>
      <c r="DA3" s="29" t="s">
        <v>16</v>
      </c>
      <c r="DB3" s="29" t="s">
        <v>39</v>
      </c>
      <c r="DC3" s="30" t="s">
        <v>52</v>
      </c>
      <c r="DD3" s="33"/>
    </row>
    <row r="4" spans="1:108" x14ac:dyDescent="0.3">
      <c r="A4" s="5" t="s">
        <v>53</v>
      </c>
      <c r="B4" s="6">
        <v>0</v>
      </c>
      <c r="C4" s="6">
        <v>0</v>
      </c>
      <c r="D4" s="6">
        <v>1</v>
      </c>
      <c r="E4" s="6">
        <v>0</v>
      </c>
      <c r="F4" s="6">
        <v>0</v>
      </c>
      <c r="G4" s="7">
        <v>0</v>
      </c>
      <c r="H4" s="2">
        <v>12</v>
      </c>
      <c r="I4" s="3">
        <v>180</v>
      </c>
      <c r="J4" s="3">
        <v>4</v>
      </c>
      <c r="K4" s="3">
        <v>20</v>
      </c>
      <c r="L4" s="4">
        <v>0</v>
      </c>
      <c r="M4" s="19">
        <v>23</v>
      </c>
      <c r="N4" s="19">
        <v>3.5</v>
      </c>
      <c r="O4" s="19">
        <v>3.2</v>
      </c>
      <c r="P4" s="19">
        <v>418</v>
      </c>
      <c r="Q4" s="19">
        <v>320</v>
      </c>
      <c r="R4" s="19">
        <f t="shared" ref="R4:R61" si="0">P4-Q4</f>
        <v>98</v>
      </c>
      <c r="S4" s="19" t="s">
        <v>1</v>
      </c>
      <c r="T4" s="2">
        <v>0.71739999999999993</v>
      </c>
      <c r="U4" s="3">
        <v>0.19219999999999998</v>
      </c>
      <c r="V4" s="3">
        <v>8.8100000000000012E-2</v>
      </c>
      <c r="W4" s="3">
        <v>0</v>
      </c>
      <c r="X4" s="3">
        <v>0</v>
      </c>
      <c r="Y4" s="3">
        <v>2.3999999999999998E-3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4">
        <v>0</v>
      </c>
      <c r="AM4" s="2">
        <v>0</v>
      </c>
      <c r="AN4" s="3">
        <v>0</v>
      </c>
      <c r="AO4" s="3">
        <v>1</v>
      </c>
      <c r="AP4" s="3">
        <v>1</v>
      </c>
      <c r="AQ4" s="3">
        <v>1</v>
      </c>
      <c r="AR4" s="3">
        <v>1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1</v>
      </c>
      <c r="AZ4" s="3">
        <v>1</v>
      </c>
      <c r="BA4" s="3">
        <v>0</v>
      </c>
      <c r="BB4" s="3">
        <v>1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4">
        <v>0</v>
      </c>
      <c r="BZ4" s="2">
        <v>0</v>
      </c>
      <c r="CA4" s="3">
        <v>0</v>
      </c>
      <c r="CB4" s="3">
        <v>1</v>
      </c>
      <c r="CC4" s="3">
        <v>0</v>
      </c>
      <c r="CD4" s="3">
        <v>0</v>
      </c>
      <c r="CE4" s="3">
        <v>1</v>
      </c>
      <c r="CF4" s="3">
        <v>0</v>
      </c>
      <c r="CG4" s="3">
        <v>1</v>
      </c>
      <c r="CH4" s="3">
        <v>1</v>
      </c>
      <c r="CI4" s="3">
        <v>1</v>
      </c>
      <c r="CJ4" s="3">
        <v>1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4">
        <v>0</v>
      </c>
      <c r="DD4" s="19" t="s">
        <v>54</v>
      </c>
    </row>
    <row r="5" spans="1:108" x14ac:dyDescent="0.3">
      <c r="A5" s="2" t="s">
        <v>55</v>
      </c>
      <c r="B5" s="6">
        <v>0</v>
      </c>
      <c r="C5" s="6">
        <v>0</v>
      </c>
      <c r="D5" s="6">
        <v>1</v>
      </c>
      <c r="E5" s="6">
        <v>0</v>
      </c>
      <c r="F5" s="6">
        <v>0</v>
      </c>
      <c r="G5" s="7">
        <v>0</v>
      </c>
      <c r="H5" s="2">
        <v>5</v>
      </c>
      <c r="I5" s="3">
        <v>90</v>
      </c>
      <c r="J5" s="3" t="s">
        <v>56</v>
      </c>
      <c r="K5" s="3" t="s">
        <v>56</v>
      </c>
      <c r="M5" s="19" t="s">
        <v>56</v>
      </c>
      <c r="O5" s="19">
        <v>3.3</v>
      </c>
      <c r="P5" s="19">
        <v>450</v>
      </c>
      <c r="Q5" s="19">
        <v>364</v>
      </c>
      <c r="R5" s="19">
        <f t="shared" si="0"/>
        <v>86</v>
      </c>
      <c r="S5" s="19" t="s">
        <v>1</v>
      </c>
      <c r="DD5" s="19" t="s">
        <v>57</v>
      </c>
    </row>
    <row r="6" spans="1:108" x14ac:dyDescent="0.3">
      <c r="A6" s="2" t="s">
        <v>55</v>
      </c>
      <c r="B6" s="6">
        <v>0</v>
      </c>
      <c r="C6" s="6">
        <v>0</v>
      </c>
      <c r="D6" s="6">
        <v>1</v>
      </c>
      <c r="E6" s="6">
        <v>0</v>
      </c>
      <c r="F6" s="6">
        <v>0</v>
      </c>
      <c r="G6" s="7">
        <v>0</v>
      </c>
      <c r="H6" s="2">
        <v>5</v>
      </c>
      <c r="I6" s="3">
        <v>120</v>
      </c>
      <c r="K6" s="3" t="s">
        <v>56</v>
      </c>
      <c r="M6" s="19" t="s">
        <v>56</v>
      </c>
      <c r="N6" s="19">
        <v>3</v>
      </c>
      <c r="O6" s="19">
        <v>11.2</v>
      </c>
      <c r="P6" s="19">
        <v>458</v>
      </c>
      <c r="Q6" s="19">
        <v>380</v>
      </c>
      <c r="R6" s="19">
        <f t="shared" si="0"/>
        <v>78</v>
      </c>
      <c r="S6" s="19" t="s">
        <v>1</v>
      </c>
      <c r="T6" s="2">
        <v>0.72499999999999998</v>
      </c>
      <c r="U6" s="3">
        <v>0.23600000000000002</v>
      </c>
      <c r="V6" s="3">
        <v>3.6000000000000004E-2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4">
        <v>0</v>
      </c>
      <c r="AM6" s="2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0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4">
        <v>0</v>
      </c>
      <c r="BZ6" s="2">
        <v>1</v>
      </c>
      <c r="CA6" s="3">
        <v>0</v>
      </c>
      <c r="CB6" s="3">
        <v>1</v>
      </c>
      <c r="CC6" s="3">
        <v>1</v>
      </c>
      <c r="CD6" s="3">
        <v>1</v>
      </c>
      <c r="CE6" s="3">
        <v>1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4">
        <v>0</v>
      </c>
      <c r="DD6" s="19" t="s">
        <v>57</v>
      </c>
    </row>
    <row r="7" spans="1:108" x14ac:dyDescent="0.3">
      <c r="A7" s="2" t="s">
        <v>55</v>
      </c>
      <c r="B7" s="6">
        <v>0</v>
      </c>
      <c r="C7" s="6">
        <v>0</v>
      </c>
      <c r="D7" s="6">
        <v>1</v>
      </c>
      <c r="E7" s="6">
        <v>0</v>
      </c>
      <c r="F7" s="6">
        <v>0</v>
      </c>
      <c r="G7" s="7">
        <v>0</v>
      </c>
      <c r="H7" s="2">
        <v>5</v>
      </c>
      <c r="I7" s="3">
        <v>150</v>
      </c>
      <c r="J7" s="3" t="s">
        <v>56</v>
      </c>
      <c r="K7" s="3" t="s">
        <v>56</v>
      </c>
      <c r="M7" s="19" t="s">
        <v>56</v>
      </c>
      <c r="O7" s="19">
        <v>8.6</v>
      </c>
      <c r="P7" s="19">
        <v>493</v>
      </c>
      <c r="Q7" s="19">
        <v>406</v>
      </c>
      <c r="R7" s="19">
        <f t="shared" si="0"/>
        <v>87</v>
      </c>
      <c r="S7" s="19" t="s">
        <v>1</v>
      </c>
      <c r="DD7" s="19" t="s">
        <v>57</v>
      </c>
    </row>
    <row r="8" spans="1:108" x14ac:dyDescent="0.3">
      <c r="A8" s="8" t="s">
        <v>58</v>
      </c>
      <c r="B8" s="6">
        <v>0</v>
      </c>
      <c r="C8" s="6">
        <v>0</v>
      </c>
      <c r="D8" s="6">
        <v>1</v>
      </c>
      <c r="E8" s="6">
        <v>0</v>
      </c>
      <c r="F8" s="6">
        <v>0</v>
      </c>
      <c r="G8" s="7">
        <v>0</v>
      </c>
      <c r="H8" s="2">
        <v>4</v>
      </c>
      <c r="I8" s="3">
        <v>150</v>
      </c>
      <c r="J8" s="3">
        <v>10</v>
      </c>
      <c r="K8" s="3">
        <v>100</v>
      </c>
      <c r="L8" s="4">
        <v>0</v>
      </c>
      <c r="M8" s="19" t="s">
        <v>56</v>
      </c>
      <c r="N8" s="19">
        <v>3.2</v>
      </c>
      <c r="O8" s="19">
        <v>27.2</v>
      </c>
      <c r="P8" s="19">
        <v>467</v>
      </c>
      <c r="Q8" s="19">
        <v>340</v>
      </c>
      <c r="R8" s="19">
        <f t="shared" si="0"/>
        <v>127</v>
      </c>
      <c r="S8" s="19" t="s">
        <v>1</v>
      </c>
      <c r="T8" s="2">
        <v>0.81559999999999999</v>
      </c>
      <c r="U8" s="3">
        <v>9.820000000000001E-2</v>
      </c>
      <c r="V8" s="3">
        <v>7.1500000000000008E-2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4">
        <v>0</v>
      </c>
      <c r="AM8" s="2">
        <v>1</v>
      </c>
      <c r="AN8" s="3">
        <v>0</v>
      </c>
      <c r="AO8" s="3">
        <v>1</v>
      </c>
      <c r="AP8" s="3">
        <v>1</v>
      </c>
      <c r="AQ8" s="3">
        <v>1</v>
      </c>
      <c r="AR8" s="3">
        <v>1</v>
      </c>
      <c r="AS8" s="3">
        <v>0</v>
      </c>
      <c r="AT8" s="3">
        <v>1</v>
      </c>
      <c r="AU8" s="3">
        <v>0</v>
      </c>
      <c r="AV8" s="3">
        <v>1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1</v>
      </c>
      <c r="BG8" s="3">
        <v>0</v>
      </c>
      <c r="BH8" s="3">
        <v>1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4">
        <v>0</v>
      </c>
      <c r="BZ8" s="2">
        <v>0</v>
      </c>
      <c r="CA8" s="3">
        <v>0</v>
      </c>
      <c r="CB8" s="3">
        <v>1</v>
      </c>
      <c r="CC8" s="3">
        <v>1</v>
      </c>
      <c r="CD8" s="3">
        <v>1</v>
      </c>
      <c r="CE8" s="3">
        <v>1</v>
      </c>
      <c r="CF8" s="3">
        <v>0</v>
      </c>
      <c r="CG8" s="3">
        <v>0</v>
      </c>
      <c r="CH8" s="3">
        <v>0</v>
      </c>
      <c r="CI8" s="3">
        <v>1</v>
      </c>
      <c r="CJ8" s="3">
        <v>0</v>
      </c>
      <c r="CK8" s="3">
        <v>0</v>
      </c>
      <c r="CL8" s="3">
        <v>1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4">
        <v>0</v>
      </c>
      <c r="DD8" s="19" t="s">
        <v>59</v>
      </c>
    </row>
    <row r="9" spans="1:108" x14ac:dyDescent="0.3">
      <c r="A9" s="2" t="s">
        <v>60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4">
        <v>0</v>
      </c>
      <c r="H9" s="2">
        <v>10</v>
      </c>
      <c r="I9" s="3">
        <v>160</v>
      </c>
      <c r="J9" s="3">
        <v>0.4</v>
      </c>
      <c r="K9" s="3">
        <v>40</v>
      </c>
      <c r="L9" s="4">
        <v>0</v>
      </c>
      <c r="M9" s="19">
        <v>45</v>
      </c>
      <c r="N9" s="19">
        <v>5.2</v>
      </c>
      <c r="O9" s="19">
        <v>7.6</v>
      </c>
      <c r="P9" s="19">
        <v>500</v>
      </c>
      <c r="Q9" s="19">
        <v>420</v>
      </c>
      <c r="R9" s="19">
        <f t="shared" si="0"/>
        <v>80</v>
      </c>
      <c r="S9" s="19" t="s">
        <v>1</v>
      </c>
      <c r="T9" s="2">
        <v>0.73</v>
      </c>
      <c r="U9" s="3">
        <v>0.25259999999999999</v>
      </c>
      <c r="V9" s="3">
        <v>1.18E-2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4">
        <v>0</v>
      </c>
      <c r="AM9" s="2">
        <v>1</v>
      </c>
      <c r="AN9" s="3">
        <v>0</v>
      </c>
      <c r="AO9" s="3">
        <v>1</v>
      </c>
      <c r="AP9" s="3">
        <v>1</v>
      </c>
      <c r="AQ9" s="3">
        <v>1</v>
      </c>
      <c r="AR9" s="3">
        <v>1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1</v>
      </c>
      <c r="AZ9" s="3">
        <v>0</v>
      </c>
      <c r="BA9" s="3">
        <v>0</v>
      </c>
      <c r="BB9" s="3">
        <v>0</v>
      </c>
      <c r="BC9" s="3">
        <v>0</v>
      </c>
      <c r="BD9" s="3">
        <v>1</v>
      </c>
      <c r="BE9" s="3">
        <v>0</v>
      </c>
      <c r="BG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4">
        <v>0</v>
      </c>
      <c r="BZ9" s="2">
        <v>0</v>
      </c>
      <c r="CA9" s="3">
        <v>0</v>
      </c>
      <c r="CB9" s="3">
        <v>1</v>
      </c>
      <c r="CC9" s="3">
        <v>1</v>
      </c>
      <c r="CD9" s="3">
        <v>1</v>
      </c>
      <c r="CE9" s="3">
        <v>1</v>
      </c>
      <c r="CF9" s="3">
        <v>0</v>
      </c>
      <c r="CG9" s="3">
        <v>0</v>
      </c>
      <c r="CH9" s="3">
        <v>0</v>
      </c>
      <c r="CI9" s="3">
        <v>1</v>
      </c>
      <c r="CJ9" s="3">
        <v>0</v>
      </c>
      <c r="CK9" s="3">
        <v>0</v>
      </c>
      <c r="CL9" s="3">
        <v>1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4">
        <v>0</v>
      </c>
      <c r="DD9" s="19" t="s">
        <v>61</v>
      </c>
    </row>
    <row r="10" spans="1:108" x14ac:dyDescent="0.3">
      <c r="A10" s="8" t="s">
        <v>62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  <c r="G10" s="4">
        <v>0</v>
      </c>
      <c r="H10" s="2">
        <v>3</v>
      </c>
      <c r="I10" s="3">
        <v>180</v>
      </c>
      <c r="J10" s="3">
        <v>2</v>
      </c>
      <c r="K10" s="3">
        <v>10</v>
      </c>
      <c r="L10" s="4">
        <v>0</v>
      </c>
      <c r="M10" s="19" t="s">
        <v>56</v>
      </c>
      <c r="N10" s="19">
        <v>3.6</v>
      </c>
      <c r="O10" s="19">
        <v>13.6</v>
      </c>
      <c r="P10" s="19">
        <v>420</v>
      </c>
      <c r="Q10" s="19">
        <v>330</v>
      </c>
      <c r="R10" s="19">
        <f t="shared" si="0"/>
        <v>90</v>
      </c>
      <c r="S10" s="19" t="s">
        <v>1</v>
      </c>
      <c r="T10" s="2">
        <v>0.64139999999999997</v>
      </c>
      <c r="U10" s="3">
        <v>0.27529999999999999</v>
      </c>
      <c r="V10" s="3">
        <v>8.3299999999999999E-2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4">
        <v>0</v>
      </c>
      <c r="AM10" s="2">
        <v>1</v>
      </c>
      <c r="AN10" s="3">
        <v>0</v>
      </c>
      <c r="AO10" s="3">
        <v>0</v>
      </c>
      <c r="AP10" s="3">
        <v>0</v>
      </c>
      <c r="AQ10" s="3">
        <v>1</v>
      </c>
      <c r="AR10" s="3">
        <v>1</v>
      </c>
      <c r="AS10" s="3">
        <v>0</v>
      </c>
      <c r="AT10" s="3">
        <v>1</v>
      </c>
      <c r="AU10" s="3">
        <v>0</v>
      </c>
      <c r="AV10" s="3">
        <v>1</v>
      </c>
      <c r="AW10" s="3">
        <v>0</v>
      </c>
      <c r="AX10" s="3">
        <v>0</v>
      </c>
      <c r="AY10" s="3">
        <v>1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1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4">
        <v>0</v>
      </c>
      <c r="BZ10" s="2">
        <v>1</v>
      </c>
      <c r="CA10" s="3">
        <v>0</v>
      </c>
      <c r="CB10" s="3">
        <v>0</v>
      </c>
      <c r="CC10" s="3">
        <v>1</v>
      </c>
      <c r="CD10" s="3">
        <v>1</v>
      </c>
      <c r="CE10" s="3">
        <v>1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1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4">
        <v>0</v>
      </c>
      <c r="DD10" s="19" t="s">
        <v>63</v>
      </c>
    </row>
    <row r="11" spans="1:108" x14ac:dyDescent="0.3">
      <c r="A11" s="8" t="s">
        <v>64</v>
      </c>
      <c r="B11" s="9">
        <v>0</v>
      </c>
      <c r="C11" s="9">
        <v>0</v>
      </c>
      <c r="D11" s="9">
        <v>1</v>
      </c>
      <c r="E11" s="9">
        <v>0</v>
      </c>
      <c r="F11" s="9">
        <v>0</v>
      </c>
      <c r="G11" s="10">
        <v>0</v>
      </c>
      <c r="H11" s="2">
        <v>4</v>
      </c>
      <c r="I11" s="3">
        <v>180</v>
      </c>
      <c r="J11" s="3">
        <v>10</v>
      </c>
      <c r="K11" s="3">
        <v>30</v>
      </c>
      <c r="L11" s="4">
        <v>0</v>
      </c>
      <c r="M11" s="19" t="s">
        <v>56</v>
      </c>
      <c r="N11" s="19">
        <v>2.4</v>
      </c>
      <c r="O11" s="19">
        <v>9.3000000000000007</v>
      </c>
      <c r="P11" s="19">
        <v>500</v>
      </c>
      <c r="Q11" s="19">
        <v>450</v>
      </c>
      <c r="R11" s="19">
        <f t="shared" si="0"/>
        <v>50</v>
      </c>
      <c r="S11" s="19" t="s">
        <v>2</v>
      </c>
      <c r="T11" s="2">
        <v>0.52780000000000005</v>
      </c>
      <c r="U11" s="3">
        <v>9.4800000000000009E-2</v>
      </c>
      <c r="V11" s="3">
        <v>0.183</v>
      </c>
      <c r="W11" s="3">
        <v>0.19370000000000001</v>
      </c>
      <c r="X11" s="3">
        <v>7.0000000000000007E-2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4">
        <v>0</v>
      </c>
      <c r="BZ11" s="2">
        <v>0</v>
      </c>
      <c r="CA11" s="3">
        <v>0</v>
      </c>
      <c r="CB11" s="3">
        <v>1</v>
      </c>
      <c r="CC11" s="3">
        <v>0</v>
      </c>
      <c r="CD11" s="3">
        <v>1</v>
      </c>
      <c r="CE11" s="3">
        <v>1</v>
      </c>
      <c r="CF11" s="3">
        <v>1</v>
      </c>
      <c r="CG11" s="3">
        <v>0</v>
      </c>
      <c r="CH11" s="3">
        <v>0</v>
      </c>
      <c r="CI11" s="3">
        <v>1</v>
      </c>
      <c r="CJ11" s="3">
        <v>0</v>
      </c>
      <c r="CK11" s="3">
        <v>0</v>
      </c>
      <c r="CL11" s="3">
        <v>1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4">
        <v>0</v>
      </c>
      <c r="DD11" s="19" t="s">
        <v>65</v>
      </c>
    </row>
    <row r="12" spans="1:108" x14ac:dyDescent="0.3">
      <c r="A12" s="2" t="s">
        <v>66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4">
        <v>0</v>
      </c>
      <c r="H12" s="2">
        <v>12</v>
      </c>
      <c r="I12" s="3">
        <v>180</v>
      </c>
      <c r="J12" s="3" t="s">
        <v>56</v>
      </c>
      <c r="K12" s="3" t="s">
        <v>56</v>
      </c>
      <c r="M12" s="19" t="s">
        <v>56</v>
      </c>
      <c r="N12" s="19">
        <v>5.2</v>
      </c>
      <c r="O12" s="19">
        <v>6.3</v>
      </c>
      <c r="P12" s="19">
        <v>427</v>
      </c>
      <c r="Q12" s="19">
        <v>344</v>
      </c>
      <c r="R12" s="19">
        <f t="shared" si="0"/>
        <v>83</v>
      </c>
      <c r="S12" s="19" t="s">
        <v>1</v>
      </c>
      <c r="T12" s="2">
        <v>0.67459999999999998</v>
      </c>
      <c r="U12" s="3">
        <v>0.23870000000000002</v>
      </c>
      <c r="V12" s="3">
        <v>6.88E-2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4">
        <v>0</v>
      </c>
      <c r="AM12" s="2">
        <v>1</v>
      </c>
      <c r="AN12" s="3">
        <v>0</v>
      </c>
      <c r="AO12" s="3">
        <v>0</v>
      </c>
      <c r="AP12" s="3">
        <v>0</v>
      </c>
      <c r="AQ12" s="3">
        <v>1</v>
      </c>
      <c r="AR12" s="3">
        <v>1</v>
      </c>
      <c r="AS12" s="3">
        <v>0</v>
      </c>
      <c r="AT12" s="3">
        <v>1</v>
      </c>
      <c r="AU12" s="3">
        <v>0</v>
      </c>
      <c r="AV12" s="3">
        <v>1</v>
      </c>
      <c r="AW12" s="3">
        <v>0</v>
      </c>
      <c r="AX12" s="3">
        <v>0</v>
      </c>
      <c r="AY12" s="3">
        <v>1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1</v>
      </c>
      <c r="BG12" s="3">
        <v>0</v>
      </c>
      <c r="BH12" s="3">
        <v>0</v>
      </c>
      <c r="BI12" s="3">
        <v>1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4">
        <v>0</v>
      </c>
      <c r="BZ12" s="2">
        <v>0</v>
      </c>
      <c r="CA12" s="3">
        <v>0</v>
      </c>
      <c r="CB12" s="3">
        <v>0</v>
      </c>
      <c r="CC12" s="3">
        <v>1</v>
      </c>
      <c r="CD12" s="3">
        <v>0</v>
      </c>
      <c r="CE12" s="3">
        <v>1</v>
      </c>
      <c r="CF12" s="3">
        <v>0</v>
      </c>
      <c r="CG12" s="3">
        <v>0</v>
      </c>
      <c r="CH12" s="3">
        <v>0</v>
      </c>
      <c r="CI12" s="3">
        <v>1</v>
      </c>
      <c r="CJ12" s="3">
        <v>0</v>
      </c>
      <c r="CK12" s="3">
        <v>0</v>
      </c>
      <c r="CL12" s="3">
        <v>1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4">
        <v>0</v>
      </c>
      <c r="DD12" s="19" t="s">
        <v>67</v>
      </c>
    </row>
    <row r="13" spans="1:108" x14ac:dyDescent="0.3">
      <c r="A13" s="2" t="s">
        <v>68</v>
      </c>
      <c r="B13" s="3">
        <v>0</v>
      </c>
      <c r="C13" s="3">
        <v>0</v>
      </c>
      <c r="D13" s="3">
        <v>0</v>
      </c>
      <c r="E13" s="3">
        <v>0</v>
      </c>
      <c r="F13" s="3">
        <v>1</v>
      </c>
      <c r="G13" s="4">
        <v>0</v>
      </c>
      <c r="H13" s="2">
        <v>3</v>
      </c>
      <c r="I13" s="3">
        <v>200</v>
      </c>
      <c r="J13" s="3">
        <v>1</v>
      </c>
      <c r="K13" s="3">
        <v>15</v>
      </c>
      <c r="L13" s="4">
        <v>0</v>
      </c>
      <c r="M13" s="19" t="s">
        <v>56</v>
      </c>
      <c r="N13" s="19">
        <v>2.9</v>
      </c>
      <c r="O13" s="19">
        <v>6.9</v>
      </c>
      <c r="P13" s="19">
        <v>444</v>
      </c>
      <c r="Q13" s="19">
        <v>365</v>
      </c>
      <c r="R13" s="19">
        <f t="shared" si="0"/>
        <v>79</v>
      </c>
      <c r="S13" s="19" t="s">
        <v>1</v>
      </c>
      <c r="T13" s="2">
        <v>0.71120000000000005</v>
      </c>
      <c r="U13" s="3">
        <v>0.24829999999999999</v>
      </c>
      <c r="V13" s="3">
        <v>4.0500000000000001E-2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4">
        <v>0</v>
      </c>
      <c r="AM13" s="2">
        <v>0</v>
      </c>
      <c r="AN13" s="3">
        <v>0</v>
      </c>
      <c r="AO13" s="3">
        <v>1</v>
      </c>
      <c r="AP13" s="3">
        <v>0</v>
      </c>
      <c r="AQ13" s="3">
        <v>1</v>
      </c>
      <c r="AR13" s="3">
        <v>1</v>
      </c>
      <c r="AS13" s="3">
        <v>0</v>
      </c>
      <c r="AT13" s="3">
        <v>1</v>
      </c>
      <c r="AU13" s="3">
        <v>0</v>
      </c>
      <c r="AV13" s="3">
        <v>1</v>
      </c>
      <c r="AW13" s="3">
        <v>0</v>
      </c>
      <c r="AX13" s="3">
        <v>0</v>
      </c>
      <c r="AY13" s="3">
        <v>1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1</v>
      </c>
      <c r="BG13" s="3">
        <v>0</v>
      </c>
      <c r="BH13" s="3">
        <v>0</v>
      </c>
      <c r="BI13" s="3">
        <v>1</v>
      </c>
      <c r="BJ13" s="3">
        <v>1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4">
        <v>0</v>
      </c>
      <c r="BZ13" s="2">
        <v>1</v>
      </c>
      <c r="CA13" s="3">
        <v>0</v>
      </c>
      <c r="CB13" s="3">
        <v>0</v>
      </c>
      <c r="CC13" s="3">
        <v>0</v>
      </c>
      <c r="CD13" s="3">
        <v>1</v>
      </c>
      <c r="CE13" s="3">
        <v>0</v>
      </c>
      <c r="CF13" s="3">
        <v>1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1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4">
        <v>0</v>
      </c>
      <c r="DD13" s="19" t="s">
        <v>69</v>
      </c>
    </row>
    <row r="14" spans="1:108" x14ac:dyDescent="0.3">
      <c r="A14" s="2" t="s">
        <v>70</v>
      </c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7">
        <v>0</v>
      </c>
      <c r="H14" s="2">
        <v>3</v>
      </c>
      <c r="I14" s="3">
        <v>200</v>
      </c>
      <c r="J14" s="3" t="s">
        <v>56</v>
      </c>
      <c r="K14" s="3" t="s">
        <v>56</v>
      </c>
      <c r="M14" s="19" t="s">
        <v>56</v>
      </c>
      <c r="N14" s="19">
        <v>1.6</v>
      </c>
      <c r="O14" s="19">
        <v>6</v>
      </c>
      <c r="P14" s="19">
        <v>444</v>
      </c>
      <c r="Q14" s="19">
        <v>360</v>
      </c>
      <c r="R14" s="19">
        <f t="shared" si="0"/>
        <v>84</v>
      </c>
      <c r="S14" s="19" t="s">
        <v>1</v>
      </c>
      <c r="T14" s="2">
        <v>0.55010000000000003</v>
      </c>
      <c r="U14" s="3">
        <v>0.2132</v>
      </c>
      <c r="V14" s="3">
        <v>0.23670000000000002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4">
        <v>0</v>
      </c>
      <c r="AM14" s="2">
        <v>0</v>
      </c>
      <c r="AN14" s="3">
        <v>0</v>
      </c>
      <c r="AO14" s="3">
        <v>1</v>
      </c>
      <c r="AP14" s="3">
        <v>0</v>
      </c>
      <c r="AQ14" s="3">
        <v>1</v>
      </c>
      <c r="AR14" s="3">
        <v>1</v>
      </c>
      <c r="AS14" s="3">
        <v>0</v>
      </c>
      <c r="AT14" s="3">
        <v>1</v>
      </c>
      <c r="AU14" s="3">
        <v>0</v>
      </c>
      <c r="AV14" s="3">
        <v>1</v>
      </c>
      <c r="AW14" s="3">
        <v>0</v>
      </c>
      <c r="AX14" s="3">
        <v>0</v>
      </c>
      <c r="AY14" s="3">
        <v>1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1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4">
        <v>0</v>
      </c>
      <c r="DD14" s="19" t="s">
        <v>71</v>
      </c>
    </row>
    <row r="15" spans="1:108" x14ac:dyDescent="0.3">
      <c r="A15" s="2" t="s">
        <v>72</v>
      </c>
      <c r="B15" s="6">
        <v>0</v>
      </c>
      <c r="C15" s="6">
        <v>0</v>
      </c>
      <c r="D15" s="6">
        <v>1</v>
      </c>
      <c r="E15" s="6">
        <v>0</v>
      </c>
      <c r="F15" s="6">
        <v>0</v>
      </c>
      <c r="G15" s="7">
        <v>0</v>
      </c>
      <c r="H15" s="2">
        <v>4</v>
      </c>
      <c r="I15" s="3">
        <v>200</v>
      </c>
      <c r="J15" s="3" t="s">
        <v>56</v>
      </c>
      <c r="K15" s="3" t="s">
        <v>56</v>
      </c>
      <c r="M15" s="19" t="s">
        <v>56</v>
      </c>
      <c r="N15" s="19">
        <v>5</v>
      </c>
      <c r="O15" s="19">
        <v>3.06</v>
      </c>
      <c r="P15" s="19">
        <v>435</v>
      </c>
      <c r="Q15" s="19">
        <v>360</v>
      </c>
      <c r="R15" s="19">
        <f t="shared" si="0"/>
        <v>75</v>
      </c>
      <c r="S15" s="19" t="s">
        <v>1</v>
      </c>
      <c r="T15" s="2">
        <v>0.4143</v>
      </c>
      <c r="U15" s="3">
        <v>0.48920000000000002</v>
      </c>
      <c r="V15" s="3">
        <v>4.8300000000000003E-2</v>
      </c>
      <c r="W15" s="3">
        <v>0</v>
      </c>
      <c r="X15" s="3">
        <v>0</v>
      </c>
      <c r="Y15" s="3">
        <v>0</v>
      </c>
      <c r="Z15" s="3">
        <v>4.8099999999999997E-2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4">
        <v>0</v>
      </c>
      <c r="BZ15" s="2">
        <v>0</v>
      </c>
      <c r="CA15" s="3">
        <v>0</v>
      </c>
      <c r="CB15" s="3">
        <v>1</v>
      </c>
      <c r="CC15" s="3">
        <v>1</v>
      </c>
      <c r="CD15" s="3">
        <v>1</v>
      </c>
      <c r="CE15" s="3">
        <v>1</v>
      </c>
      <c r="CF15" s="3">
        <v>0</v>
      </c>
      <c r="CG15" s="3">
        <v>0</v>
      </c>
      <c r="CH15" s="3">
        <v>0</v>
      </c>
      <c r="CI15" s="3">
        <v>1</v>
      </c>
      <c r="CJ15" s="3">
        <v>0</v>
      </c>
      <c r="CK15" s="3">
        <v>0</v>
      </c>
      <c r="CL15" s="3">
        <v>1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4">
        <v>0</v>
      </c>
      <c r="DD15" s="19" t="s">
        <v>73</v>
      </c>
    </row>
    <row r="16" spans="1:108" x14ac:dyDescent="0.3">
      <c r="A16" s="2" t="s">
        <v>74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7">
        <v>0</v>
      </c>
      <c r="H16" s="2">
        <v>10</v>
      </c>
      <c r="I16" s="3">
        <v>200</v>
      </c>
      <c r="J16" s="3">
        <v>1</v>
      </c>
      <c r="K16" s="3">
        <v>25</v>
      </c>
      <c r="L16" s="4">
        <v>0</v>
      </c>
      <c r="M16" s="19" t="s">
        <v>56</v>
      </c>
      <c r="N16" s="19">
        <v>3</v>
      </c>
      <c r="O16" s="19">
        <v>22.8</v>
      </c>
      <c r="P16" s="19">
        <v>436</v>
      </c>
      <c r="Q16" s="19">
        <v>350</v>
      </c>
      <c r="R16" s="19">
        <f t="shared" si="0"/>
        <v>86</v>
      </c>
      <c r="S16" s="19" t="s">
        <v>1</v>
      </c>
      <c r="T16" s="2">
        <v>0.70840000000000003</v>
      </c>
      <c r="U16" s="3">
        <v>0.24979999999999999</v>
      </c>
      <c r="V16" s="3">
        <v>4.1799999999999997E-2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4">
        <v>0</v>
      </c>
      <c r="AM16" s="2">
        <v>1</v>
      </c>
      <c r="AN16" s="3">
        <v>0</v>
      </c>
      <c r="AO16" s="3">
        <v>1</v>
      </c>
      <c r="AP16" s="3">
        <v>0</v>
      </c>
      <c r="AQ16" s="3">
        <v>1</v>
      </c>
      <c r="AR16" s="3">
        <v>1</v>
      </c>
      <c r="AS16" s="3">
        <v>0</v>
      </c>
      <c r="AT16" s="3">
        <v>1</v>
      </c>
      <c r="AU16" s="3">
        <v>0</v>
      </c>
      <c r="AV16" s="3">
        <v>1</v>
      </c>
      <c r="AW16" s="3">
        <v>0</v>
      </c>
      <c r="AX16" s="3">
        <v>0</v>
      </c>
      <c r="AY16" s="3">
        <v>1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1</v>
      </c>
      <c r="BG16" s="3">
        <v>0</v>
      </c>
      <c r="BH16" s="3">
        <v>0</v>
      </c>
      <c r="BI16" s="3">
        <v>1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4">
        <v>0</v>
      </c>
      <c r="BZ16" s="2">
        <v>0</v>
      </c>
      <c r="CA16" s="3">
        <v>0</v>
      </c>
      <c r="CB16" s="3">
        <v>0</v>
      </c>
      <c r="CC16" s="3">
        <v>1</v>
      </c>
      <c r="CD16" s="3">
        <v>1</v>
      </c>
      <c r="CE16" s="3">
        <v>1</v>
      </c>
      <c r="CF16" s="3">
        <v>0</v>
      </c>
      <c r="CG16" s="3">
        <v>0</v>
      </c>
      <c r="CH16" s="3">
        <v>0</v>
      </c>
      <c r="CI16" s="3">
        <v>1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4">
        <v>0</v>
      </c>
      <c r="DD16" s="19" t="s">
        <v>75</v>
      </c>
    </row>
    <row r="17" spans="1:108" x14ac:dyDescent="0.3">
      <c r="A17" s="8" t="s">
        <v>76</v>
      </c>
      <c r="B17" s="6">
        <v>0</v>
      </c>
      <c r="C17" s="6">
        <v>0</v>
      </c>
      <c r="D17" s="6">
        <v>1</v>
      </c>
      <c r="E17" s="6">
        <v>0</v>
      </c>
      <c r="F17" s="6">
        <v>0</v>
      </c>
      <c r="G17" s="7">
        <v>0</v>
      </c>
      <c r="H17" s="2">
        <v>5</v>
      </c>
      <c r="I17" s="3">
        <v>210</v>
      </c>
      <c r="J17" s="3">
        <v>4</v>
      </c>
      <c r="K17" s="3">
        <v>100</v>
      </c>
      <c r="L17" s="4">
        <v>0</v>
      </c>
      <c r="M17" s="19" t="s">
        <v>56</v>
      </c>
      <c r="N17" s="19">
        <v>3.4</v>
      </c>
      <c r="O17" s="19">
        <v>46.6</v>
      </c>
      <c r="P17" s="19">
        <v>417</v>
      </c>
      <c r="Q17" s="19">
        <v>320</v>
      </c>
      <c r="R17" s="19">
        <f t="shared" si="0"/>
        <v>97</v>
      </c>
      <c r="S17" s="19" t="s">
        <v>1</v>
      </c>
      <c r="T17" s="2">
        <v>0.51100000000000001</v>
      </c>
      <c r="U17" s="3">
        <v>0.34700000000000003</v>
      </c>
      <c r="V17" s="3">
        <v>0.14199999999999999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4">
        <v>0</v>
      </c>
      <c r="AM17" s="2">
        <v>1</v>
      </c>
      <c r="AN17" s="3">
        <v>0</v>
      </c>
      <c r="AO17" s="3">
        <v>1</v>
      </c>
      <c r="AP17" s="3">
        <v>1</v>
      </c>
      <c r="AQ17" s="3">
        <v>1</v>
      </c>
      <c r="AR17" s="3">
        <v>1</v>
      </c>
      <c r="AS17" s="3">
        <v>0</v>
      </c>
      <c r="AT17" s="3">
        <v>1</v>
      </c>
      <c r="AU17" s="3">
        <v>0</v>
      </c>
      <c r="AV17" s="3">
        <v>1</v>
      </c>
      <c r="AW17" s="3">
        <v>0</v>
      </c>
      <c r="AX17" s="3">
        <v>0</v>
      </c>
      <c r="AY17" s="3">
        <v>1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1</v>
      </c>
      <c r="BG17" s="3">
        <v>0</v>
      </c>
      <c r="BH17" s="3">
        <v>0</v>
      </c>
      <c r="BI17" s="3">
        <v>1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4">
        <v>0</v>
      </c>
      <c r="BZ17" s="2">
        <v>0</v>
      </c>
      <c r="CA17" s="3">
        <v>0</v>
      </c>
      <c r="CB17" s="3">
        <v>1</v>
      </c>
      <c r="CC17" s="3">
        <v>0</v>
      </c>
      <c r="CD17" s="3">
        <v>0</v>
      </c>
      <c r="CE17" s="3">
        <v>1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1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4">
        <v>0</v>
      </c>
      <c r="DD17" s="19" t="s">
        <v>77</v>
      </c>
    </row>
    <row r="18" spans="1:108" x14ac:dyDescent="0.3">
      <c r="A18" s="8" t="s">
        <v>78</v>
      </c>
      <c r="B18" s="6">
        <v>0</v>
      </c>
      <c r="C18" s="6">
        <v>0</v>
      </c>
      <c r="D18" s="6">
        <v>1</v>
      </c>
      <c r="E18" s="6">
        <v>0</v>
      </c>
      <c r="F18" s="6">
        <v>0</v>
      </c>
      <c r="G18" s="7">
        <v>0</v>
      </c>
      <c r="H18" s="2">
        <v>3</v>
      </c>
      <c r="I18" s="3">
        <v>220</v>
      </c>
      <c r="J18" s="3">
        <v>1</v>
      </c>
      <c r="K18" s="3">
        <v>10</v>
      </c>
      <c r="L18" s="4">
        <v>0</v>
      </c>
      <c r="M18" s="19">
        <v>7</v>
      </c>
      <c r="N18" s="19">
        <v>4.22</v>
      </c>
      <c r="O18" s="19">
        <v>10.48</v>
      </c>
      <c r="P18" s="19">
        <v>503</v>
      </c>
      <c r="Q18" s="19">
        <v>412</v>
      </c>
      <c r="R18" s="19">
        <f t="shared" si="0"/>
        <v>91</v>
      </c>
      <c r="S18" s="19" t="s">
        <v>1</v>
      </c>
      <c r="T18" s="2">
        <v>0.53890000000000005</v>
      </c>
      <c r="U18" s="3">
        <v>0.2036</v>
      </c>
      <c r="V18" s="3">
        <v>0.19760000000000003</v>
      </c>
      <c r="W18" s="3">
        <v>0</v>
      </c>
      <c r="X18" s="3">
        <v>0</v>
      </c>
      <c r="Y18" s="3">
        <v>5.9900000000000002E-2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4">
        <v>0</v>
      </c>
      <c r="AM18" s="2">
        <v>0</v>
      </c>
      <c r="AN18" s="3">
        <v>0</v>
      </c>
      <c r="AO18" s="3">
        <v>1</v>
      </c>
      <c r="AP18" s="3">
        <v>1</v>
      </c>
      <c r="AQ18" s="3">
        <v>1</v>
      </c>
      <c r="AR18" s="3">
        <v>1</v>
      </c>
      <c r="AS18" s="3">
        <v>0</v>
      </c>
      <c r="AT18" s="3">
        <v>1</v>
      </c>
      <c r="AU18" s="3">
        <v>0</v>
      </c>
      <c r="AV18" s="3">
        <v>1</v>
      </c>
      <c r="AW18" s="3">
        <v>0</v>
      </c>
      <c r="AX18" s="3">
        <v>0</v>
      </c>
      <c r="AY18" s="3">
        <v>1</v>
      </c>
      <c r="AZ18" s="3">
        <v>1</v>
      </c>
      <c r="BA18" s="3">
        <v>0</v>
      </c>
      <c r="BB18" s="3">
        <v>0</v>
      </c>
      <c r="BC18" s="3">
        <v>1</v>
      </c>
      <c r="BD18" s="3">
        <v>0</v>
      </c>
      <c r="BE18" s="3">
        <v>0</v>
      </c>
      <c r="BF18" s="3">
        <v>1</v>
      </c>
      <c r="BG18" s="3">
        <v>0</v>
      </c>
      <c r="BH18" s="3">
        <v>0</v>
      </c>
      <c r="BI18" s="3">
        <v>1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4">
        <v>0</v>
      </c>
      <c r="BZ18" s="2">
        <v>0</v>
      </c>
      <c r="CA18" s="3">
        <v>0</v>
      </c>
      <c r="CB18" s="3">
        <v>1</v>
      </c>
      <c r="CC18" s="3">
        <v>1</v>
      </c>
      <c r="CD18" s="3">
        <v>1</v>
      </c>
      <c r="CE18" s="3">
        <v>0</v>
      </c>
      <c r="CF18" s="3">
        <v>1</v>
      </c>
      <c r="CG18" s="3">
        <v>0</v>
      </c>
      <c r="CH18" s="3">
        <v>0</v>
      </c>
      <c r="CI18" s="3">
        <v>1</v>
      </c>
      <c r="CJ18" s="3">
        <v>1</v>
      </c>
      <c r="CK18" s="3">
        <v>0</v>
      </c>
      <c r="CL18" s="3">
        <v>1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4">
        <v>0</v>
      </c>
      <c r="DD18" s="19" t="s">
        <v>79</v>
      </c>
    </row>
    <row r="19" spans="1:108" x14ac:dyDescent="0.3">
      <c r="A19" s="8" t="s">
        <v>80</v>
      </c>
      <c r="B19" s="6">
        <v>0</v>
      </c>
      <c r="C19" s="6">
        <v>0</v>
      </c>
      <c r="D19" s="6">
        <v>1</v>
      </c>
      <c r="E19" s="6">
        <v>0</v>
      </c>
      <c r="F19" s="6">
        <v>0</v>
      </c>
      <c r="G19" s="7">
        <v>0</v>
      </c>
      <c r="H19" s="2">
        <v>4</v>
      </c>
      <c r="I19" s="3">
        <v>220</v>
      </c>
      <c r="J19" s="3">
        <v>5</v>
      </c>
      <c r="K19" s="3">
        <v>75</v>
      </c>
      <c r="L19" s="4">
        <v>0</v>
      </c>
      <c r="M19" s="19" t="s">
        <v>56</v>
      </c>
      <c r="N19" s="19">
        <v>9</v>
      </c>
      <c r="O19" s="19">
        <v>30.8</v>
      </c>
      <c r="P19" s="19">
        <v>410</v>
      </c>
      <c r="Q19" s="19">
        <v>330</v>
      </c>
      <c r="R19" s="19">
        <f t="shared" si="0"/>
        <v>80</v>
      </c>
      <c r="S19" s="19" t="s">
        <v>1</v>
      </c>
      <c r="T19" s="2">
        <v>0.75590000000000002</v>
      </c>
      <c r="U19" s="3">
        <v>5.4100000000000002E-2</v>
      </c>
      <c r="V19" s="3">
        <v>0.19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4">
        <v>0</v>
      </c>
      <c r="AM19" s="2">
        <v>1</v>
      </c>
      <c r="AN19" s="3">
        <v>0</v>
      </c>
      <c r="AO19" s="3">
        <v>0</v>
      </c>
      <c r="AP19" s="3">
        <v>1</v>
      </c>
      <c r="AQ19" s="3">
        <v>1</v>
      </c>
      <c r="AR19" s="3">
        <v>1</v>
      </c>
      <c r="AS19" s="3">
        <v>0</v>
      </c>
      <c r="AT19" s="3">
        <v>1</v>
      </c>
      <c r="AU19" s="3">
        <v>0</v>
      </c>
      <c r="AV19" s="3">
        <v>1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4">
        <v>0</v>
      </c>
      <c r="BZ19" s="2">
        <v>0</v>
      </c>
      <c r="CA19" s="3">
        <v>0</v>
      </c>
      <c r="CB19" s="3">
        <v>0</v>
      </c>
      <c r="CC19" s="3">
        <v>1</v>
      </c>
      <c r="CD19" s="3">
        <v>1</v>
      </c>
      <c r="CE19" s="3">
        <v>1</v>
      </c>
      <c r="CF19" s="3">
        <v>0</v>
      </c>
      <c r="CG19" s="3">
        <v>0</v>
      </c>
      <c r="CH19" s="3">
        <v>0</v>
      </c>
      <c r="CI19" s="3">
        <v>1</v>
      </c>
      <c r="CJ19" s="3">
        <v>0</v>
      </c>
      <c r="CK19" s="3">
        <v>0</v>
      </c>
      <c r="CL19" s="3">
        <v>1</v>
      </c>
      <c r="CM19" s="3">
        <v>0</v>
      </c>
      <c r="CN19" s="3">
        <v>0</v>
      </c>
      <c r="CO19" s="3">
        <v>0</v>
      </c>
      <c r="CP19" s="3">
        <v>1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4">
        <v>0</v>
      </c>
      <c r="DD19" s="19" t="s">
        <v>81</v>
      </c>
    </row>
    <row r="20" spans="1:108" x14ac:dyDescent="0.3">
      <c r="A20" s="8" t="s">
        <v>82</v>
      </c>
      <c r="B20" s="6">
        <v>0</v>
      </c>
      <c r="C20" s="6">
        <v>0</v>
      </c>
      <c r="D20" s="6">
        <v>1</v>
      </c>
      <c r="E20" s="6">
        <v>0</v>
      </c>
      <c r="F20" s="6">
        <v>0</v>
      </c>
      <c r="G20" s="7">
        <v>0</v>
      </c>
      <c r="H20" s="2">
        <v>5</v>
      </c>
      <c r="I20" s="3">
        <v>240</v>
      </c>
      <c r="J20" s="3">
        <v>2</v>
      </c>
      <c r="K20" s="3">
        <v>35</v>
      </c>
      <c r="L20" s="4">
        <v>0</v>
      </c>
      <c r="M20" s="19" t="s">
        <v>56</v>
      </c>
      <c r="N20" s="19">
        <v>2.2000000000000002</v>
      </c>
      <c r="O20" s="19">
        <v>18.53</v>
      </c>
      <c r="P20" s="19">
        <v>410</v>
      </c>
      <c r="Q20" s="19">
        <v>340</v>
      </c>
      <c r="R20" s="19">
        <f t="shared" si="0"/>
        <v>70</v>
      </c>
      <c r="S20" s="19" t="s">
        <v>1</v>
      </c>
      <c r="T20" s="2">
        <v>0.64569999999999994</v>
      </c>
      <c r="U20" s="3">
        <v>0.31329999999999997</v>
      </c>
      <c r="V20" s="3">
        <v>3.1E-2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4">
        <v>0</v>
      </c>
      <c r="AM20" s="2">
        <v>1</v>
      </c>
      <c r="AN20" s="3">
        <v>0</v>
      </c>
      <c r="AO20" s="3">
        <v>0</v>
      </c>
      <c r="AP20" s="3">
        <v>1</v>
      </c>
      <c r="AQ20" s="3">
        <v>1</v>
      </c>
      <c r="AR20" s="3">
        <v>1</v>
      </c>
      <c r="AS20" s="3">
        <v>0</v>
      </c>
      <c r="AT20" s="3">
        <v>0</v>
      </c>
      <c r="AU20" s="3">
        <v>0</v>
      </c>
      <c r="AV20" s="3">
        <v>1</v>
      </c>
      <c r="AW20" s="3">
        <v>0</v>
      </c>
      <c r="AX20" s="3">
        <v>0</v>
      </c>
      <c r="AY20" s="3">
        <v>1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1</v>
      </c>
      <c r="BG20" s="3">
        <v>0</v>
      </c>
      <c r="BH20" s="3">
        <v>0</v>
      </c>
      <c r="BI20" s="3">
        <v>1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4">
        <v>0</v>
      </c>
      <c r="BZ20" s="2">
        <v>0</v>
      </c>
      <c r="CA20" s="3">
        <v>0</v>
      </c>
      <c r="CB20" s="3">
        <v>0</v>
      </c>
      <c r="CC20" s="3">
        <v>1</v>
      </c>
      <c r="CD20" s="3">
        <v>1</v>
      </c>
      <c r="CE20" s="3">
        <v>0</v>
      </c>
      <c r="CF20" s="3">
        <v>0</v>
      </c>
      <c r="CG20" s="3">
        <v>0</v>
      </c>
      <c r="CH20" s="3">
        <v>0</v>
      </c>
      <c r="CI20" s="3">
        <v>1</v>
      </c>
      <c r="CJ20" s="3">
        <v>0</v>
      </c>
      <c r="CK20" s="3">
        <v>0</v>
      </c>
      <c r="CL20" s="3">
        <v>1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4">
        <v>0</v>
      </c>
      <c r="DD20" s="19" t="s">
        <v>83</v>
      </c>
    </row>
    <row r="21" spans="1:108" x14ac:dyDescent="0.3">
      <c r="A21" s="2" t="s">
        <v>84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4">
        <v>0</v>
      </c>
      <c r="H21" s="2">
        <v>12</v>
      </c>
      <c r="I21" s="3">
        <v>150</v>
      </c>
      <c r="J21" s="3">
        <v>40</v>
      </c>
      <c r="K21" s="3">
        <v>0</v>
      </c>
      <c r="L21" s="4">
        <v>0</v>
      </c>
      <c r="M21" s="19" t="s">
        <v>56</v>
      </c>
      <c r="N21" s="19">
        <v>40</v>
      </c>
      <c r="O21" s="19">
        <v>14.86</v>
      </c>
      <c r="P21" s="19">
        <v>530</v>
      </c>
      <c r="Q21" s="19">
        <v>420</v>
      </c>
      <c r="R21" s="19">
        <f t="shared" si="0"/>
        <v>110</v>
      </c>
      <c r="S21" s="19" t="s">
        <v>2</v>
      </c>
      <c r="BZ21" s="2">
        <v>1</v>
      </c>
      <c r="CA21" s="3">
        <v>0</v>
      </c>
      <c r="CB21" s="3">
        <v>0</v>
      </c>
      <c r="CC21" s="3">
        <v>0</v>
      </c>
      <c r="CD21" s="3">
        <v>1</v>
      </c>
      <c r="CE21" s="3">
        <v>0</v>
      </c>
      <c r="CF21" s="3">
        <v>0</v>
      </c>
      <c r="CG21" s="3">
        <v>0</v>
      </c>
      <c r="CH21" s="3">
        <v>0</v>
      </c>
      <c r="CI21" s="3">
        <v>1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1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4">
        <v>0</v>
      </c>
      <c r="DD21" s="19" t="s">
        <v>85</v>
      </c>
    </row>
    <row r="22" spans="1:108" x14ac:dyDescent="0.3">
      <c r="A22" s="2" t="s">
        <v>84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4">
        <v>0</v>
      </c>
      <c r="H22" s="2">
        <v>12</v>
      </c>
      <c r="I22" s="3">
        <v>200</v>
      </c>
      <c r="J22" s="3">
        <v>40</v>
      </c>
      <c r="K22" s="3">
        <v>0</v>
      </c>
      <c r="L22" s="4">
        <v>0</v>
      </c>
      <c r="M22" s="19" t="s">
        <v>56</v>
      </c>
      <c r="N22" s="19">
        <v>40</v>
      </c>
      <c r="O22" s="19">
        <v>16.87</v>
      </c>
      <c r="P22" s="19">
        <v>550</v>
      </c>
      <c r="Q22" s="19">
        <v>480</v>
      </c>
      <c r="R22" s="19">
        <f t="shared" si="0"/>
        <v>70</v>
      </c>
      <c r="S22" s="19" t="s">
        <v>2</v>
      </c>
      <c r="BZ22" s="2">
        <v>1</v>
      </c>
      <c r="CA22" s="3">
        <v>0</v>
      </c>
      <c r="CB22" s="3">
        <v>0</v>
      </c>
      <c r="CC22" s="3">
        <v>0</v>
      </c>
      <c r="CD22" s="3">
        <v>1</v>
      </c>
      <c r="CE22" s="3">
        <v>0</v>
      </c>
      <c r="CF22" s="3">
        <v>0</v>
      </c>
      <c r="CG22" s="3">
        <v>0</v>
      </c>
      <c r="CH22" s="3">
        <v>0</v>
      </c>
      <c r="CI22" s="3">
        <v>1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1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4">
        <v>0</v>
      </c>
      <c r="DD22" s="19" t="s">
        <v>85</v>
      </c>
    </row>
    <row r="23" spans="1:108" x14ac:dyDescent="0.3">
      <c r="A23" s="2" t="s">
        <v>84</v>
      </c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4">
        <v>0</v>
      </c>
      <c r="H23" s="2">
        <v>12</v>
      </c>
      <c r="I23" s="3">
        <v>240</v>
      </c>
      <c r="J23" s="3">
        <v>40</v>
      </c>
      <c r="K23" s="3">
        <v>0</v>
      </c>
      <c r="L23" s="4">
        <v>0</v>
      </c>
      <c r="M23" s="19" t="s">
        <v>56</v>
      </c>
      <c r="N23" s="19">
        <v>40</v>
      </c>
      <c r="O23" s="19">
        <v>21.37</v>
      </c>
      <c r="P23" s="19">
        <v>550</v>
      </c>
      <c r="Q23" s="19">
        <v>440</v>
      </c>
      <c r="R23" s="19">
        <f t="shared" si="0"/>
        <v>110</v>
      </c>
      <c r="S23" s="19" t="s">
        <v>2</v>
      </c>
      <c r="BZ23" s="2">
        <v>0</v>
      </c>
      <c r="CA23" s="3">
        <v>0</v>
      </c>
      <c r="CB23" s="3">
        <v>0</v>
      </c>
      <c r="CC23" s="3">
        <v>0</v>
      </c>
      <c r="CD23" s="3">
        <v>1</v>
      </c>
      <c r="CE23" s="3">
        <v>0</v>
      </c>
      <c r="CF23" s="3">
        <v>0</v>
      </c>
      <c r="CG23" s="3">
        <v>0</v>
      </c>
      <c r="CH23" s="3">
        <v>0</v>
      </c>
      <c r="CI23" s="3">
        <v>1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4">
        <v>0</v>
      </c>
      <c r="DD23" s="19" t="s">
        <v>85</v>
      </c>
    </row>
    <row r="24" spans="1:108" x14ac:dyDescent="0.3">
      <c r="A24" s="2" t="s">
        <v>84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4">
        <v>0</v>
      </c>
      <c r="H24" s="2">
        <v>12</v>
      </c>
      <c r="I24" s="3">
        <v>280</v>
      </c>
      <c r="J24" s="3">
        <v>40</v>
      </c>
      <c r="K24" s="3">
        <v>0</v>
      </c>
      <c r="L24" s="4">
        <v>0</v>
      </c>
      <c r="M24" s="19" t="s">
        <v>56</v>
      </c>
      <c r="N24" s="19">
        <v>40</v>
      </c>
      <c r="O24" s="19">
        <v>24.89</v>
      </c>
      <c r="P24" s="19">
        <v>540</v>
      </c>
      <c r="Q24" s="19">
        <v>420</v>
      </c>
      <c r="R24" s="19">
        <f t="shared" si="0"/>
        <v>120</v>
      </c>
      <c r="S24" s="19" t="s">
        <v>2</v>
      </c>
      <c r="BZ24" s="2">
        <v>0</v>
      </c>
      <c r="CA24" s="3">
        <v>0</v>
      </c>
      <c r="CB24" s="3">
        <v>0</v>
      </c>
      <c r="CC24" s="3">
        <v>0</v>
      </c>
      <c r="CD24" s="3">
        <v>1</v>
      </c>
      <c r="CE24" s="3">
        <v>0</v>
      </c>
      <c r="CF24" s="3">
        <v>0</v>
      </c>
      <c r="CG24" s="3">
        <v>0</v>
      </c>
      <c r="CH24" s="3">
        <v>0</v>
      </c>
      <c r="CI24" s="3">
        <v>1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4">
        <v>0</v>
      </c>
      <c r="DD24" s="19" t="s">
        <v>85</v>
      </c>
    </row>
    <row r="25" spans="1:108" x14ac:dyDescent="0.3">
      <c r="A25" s="2" t="s">
        <v>86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4">
        <v>0</v>
      </c>
      <c r="H25" s="2">
        <v>24</v>
      </c>
      <c r="I25" s="3">
        <v>200</v>
      </c>
      <c r="J25" s="3">
        <v>4</v>
      </c>
      <c r="K25" s="3">
        <v>30</v>
      </c>
      <c r="L25" s="4">
        <v>1</v>
      </c>
      <c r="M25" s="19" t="s">
        <v>56</v>
      </c>
      <c r="N25" s="19">
        <v>5.8</v>
      </c>
      <c r="O25" s="19">
        <v>14.4</v>
      </c>
      <c r="P25" s="19">
        <v>480</v>
      </c>
      <c r="Q25" s="19">
        <v>400</v>
      </c>
      <c r="R25" s="19">
        <f t="shared" si="0"/>
        <v>80</v>
      </c>
      <c r="S25" s="19" t="s">
        <v>1</v>
      </c>
      <c r="T25" s="2">
        <v>0.8075</v>
      </c>
      <c r="U25" s="3">
        <v>0.13800000000000001</v>
      </c>
      <c r="V25" s="3">
        <v>5.45E-2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4">
        <v>0</v>
      </c>
      <c r="AM25" s="2">
        <v>0</v>
      </c>
      <c r="AN25" s="3">
        <v>0</v>
      </c>
      <c r="AO25" s="3">
        <v>1</v>
      </c>
      <c r="AP25" s="3">
        <v>1</v>
      </c>
      <c r="AQ25" s="3">
        <v>1</v>
      </c>
      <c r="AR25" s="3">
        <v>1</v>
      </c>
      <c r="AS25" s="3">
        <v>0</v>
      </c>
      <c r="AT25" s="3">
        <v>1</v>
      </c>
      <c r="AU25" s="3">
        <v>0</v>
      </c>
      <c r="AV25" s="3">
        <v>1</v>
      </c>
      <c r="AW25" s="3">
        <v>0</v>
      </c>
      <c r="AX25" s="3">
        <v>0</v>
      </c>
      <c r="AY25" s="3">
        <v>1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4">
        <v>0</v>
      </c>
      <c r="BZ25" s="2">
        <v>1</v>
      </c>
      <c r="CA25" s="3">
        <v>0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4">
        <v>0</v>
      </c>
      <c r="DD25" s="19" t="s">
        <v>87</v>
      </c>
    </row>
    <row r="26" spans="1:108" x14ac:dyDescent="0.3">
      <c r="A26" s="2" t="s">
        <v>88</v>
      </c>
      <c r="B26" s="6">
        <v>0</v>
      </c>
      <c r="C26" s="6">
        <v>0</v>
      </c>
      <c r="D26" s="6">
        <v>1</v>
      </c>
      <c r="E26" s="6">
        <v>0</v>
      </c>
      <c r="F26" s="6">
        <v>0</v>
      </c>
      <c r="G26" s="7">
        <v>0</v>
      </c>
      <c r="H26" s="2">
        <v>2</v>
      </c>
      <c r="I26" s="3">
        <v>220</v>
      </c>
      <c r="J26" s="3">
        <v>4</v>
      </c>
      <c r="K26" s="3">
        <v>50</v>
      </c>
      <c r="L26" s="4">
        <v>0</v>
      </c>
      <c r="M26" s="19" t="s">
        <v>56</v>
      </c>
      <c r="N26" s="19" t="s">
        <v>56</v>
      </c>
      <c r="O26" s="19">
        <v>23.3</v>
      </c>
      <c r="P26" s="19">
        <v>440</v>
      </c>
      <c r="Q26" s="19">
        <v>320</v>
      </c>
      <c r="R26" s="19">
        <f t="shared" si="0"/>
        <v>120</v>
      </c>
      <c r="S26" s="19" t="s">
        <v>2</v>
      </c>
      <c r="DD26" s="19" t="s">
        <v>89</v>
      </c>
    </row>
    <row r="27" spans="1:108" x14ac:dyDescent="0.3">
      <c r="A27" s="2" t="s">
        <v>90</v>
      </c>
      <c r="B27" s="3">
        <v>1</v>
      </c>
      <c r="C27" s="3">
        <v>0</v>
      </c>
      <c r="D27" s="3">
        <v>0</v>
      </c>
      <c r="E27" s="3">
        <v>0</v>
      </c>
      <c r="F27" s="3">
        <v>0</v>
      </c>
      <c r="G27" s="4">
        <v>0</v>
      </c>
      <c r="H27" s="2">
        <v>5</v>
      </c>
      <c r="I27" s="3">
        <v>200</v>
      </c>
      <c r="J27" s="3">
        <v>0.5</v>
      </c>
      <c r="K27" s="3">
        <v>10</v>
      </c>
      <c r="L27" s="4">
        <v>0</v>
      </c>
      <c r="M27" s="19" t="s">
        <v>56</v>
      </c>
      <c r="N27" s="19">
        <v>10</v>
      </c>
      <c r="O27" s="19">
        <v>50.78</v>
      </c>
      <c r="P27" s="19">
        <v>440</v>
      </c>
      <c r="Q27" s="19">
        <v>330</v>
      </c>
      <c r="R27" s="19">
        <f t="shared" si="0"/>
        <v>110</v>
      </c>
      <c r="S27" s="19" t="s">
        <v>1</v>
      </c>
      <c r="T27" s="2">
        <v>0.44299999999999995</v>
      </c>
      <c r="U27" s="3">
        <v>0.36</v>
      </c>
      <c r="V27" s="3">
        <v>0.19699999999999998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4">
        <v>0</v>
      </c>
      <c r="AM27" s="2">
        <v>1</v>
      </c>
      <c r="AN27" s="3">
        <v>0</v>
      </c>
      <c r="AO27" s="3">
        <v>0</v>
      </c>
      <c r="AP27" s="3">
        <v>0</v>
      </c>
      <c r="AQ27" s="3">
        <v>1</v>
      </c>
      <c r="AR27" s="3">
        <v>1</v>
      </c>
      <c r="AS27" s="3">
        <v>0</v>
      </c>
      <c r="AT27" s="3">
        <v>0</v>
      </c>
      <c r="AU27" s="3">
        <v>0</v>
      </c>
      <c r="AV27" s="3">
        <v>1</v>
      </c>
      <c r="AW27" s="3">
        <v>0</v>
      </c>
      <c r="AX27" s="3">
        <v>0</v>
      </c>
      <c r="AY27" s="3">
        <v>1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1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4">
        <v>0</v>
      </c>
      <c r="BZ27" s="2">
        <v>0</v>
      </c>
      <c r="CA27" s="3">
        <v>0</v>
      </c>
      <c r="CB27" s="3">
        <v>0</v>
      </c>
      <c r="CC27" s="3">
        <v>1</v>
      </c>
      <c r="CD27" s="3">
        <v>1</v>
      </c>
      <c r="CE27" s="3">
        <v>1</v>
      </c>
      <c r="CF27" s="3">
        <v>1</v>
      </c>
      <c r="CG27" s="3">
        <v>0</v>
      </c>
      <c r="CH27" s="3">
        <v>0</v>
      </c>
      <c r="CI27" s="3">
        <v>1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4">
        <v>0</v>
      </c>
      <c r="DD27" s="19" t="s">
        <v>91</v>
      </c>
    </row>
    <row r="28" spans="1:108" x14ac:dyDescent="0.3">
      <c r="A28" s="2" t="s">
        <v>92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4">
        <v>1</v>
      </c>
      <c r="H28" s="2">
        <v>2</v>
      </c>
      <c r="I28" s="3">
        <v>180</v>
      </c>
      <c r="J28" s="3">
        <v>19</v>
      </c>
      <c r="K28" s="3">
        <v>15</v>
      </c>
      <c r="L28" s="4">
        <v>0</v>
      </c>
      <c r="M28" s="19" t="s">
        <v>56</v>
      </c>
      <c r="N28" s="19">
        <v>7</v>
      </c>
      <c r="O28" s="19">
        <v>38</v>
      </c>
      <c r="P28" s="19">
        <v>550</v>
      </c>
      <c r="Q28" s="19">
        <v>475</v>
      </c>
      <c r="R28" s="19">
        <f t="shared" si="0"/>
        <v>75</v>
      </c>
      <c r="T28" s="2">
        <v>0.67359999999999998</v>
      </c>
      <c r="U28" s="3">
        <v>0.2273</v>
      </c>
      <c r="V28" s="3">
        <v>9.9100000000000008E-2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4">
        <v>0</v>
      </c>
      <c r="AM28" s="2">
        <v>1</v>
      </c>
      <c r="AN28" s="3">
        <v>0</v>
      </c>
      <c r="AO28" s="3">
        <v>1</v>
      </c>
      <c r="AP28" s="3">
        <v>0</v>
      </c>
      <c r="AQ28" s="3">
        <v>0</v>
      </c>
      <c r="AR28" s="3">
        <v>1</v>
      </c>
      <c r="AS28" s="3">
        <v>0</v>
      </c>
      <c r="AT28" s="3">
        <v>1</v>
      </c>
      <c r="AU28" s="3">
        <v>0</v>
      </c>
      <c r="AV28" s="3">
        <v>1</v>
      </c>
      <c r="AW28" s="3">
        <v>0</v>
      </c>
      <c r="AX28" s="3">
        <v>0</v>
      </c>
      <c r="AY28" s="3">
        <v>1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1</v>
      </c>
      <c r="BG28" s="3">
        <v>0</v>
      </c>
      <c r="BH28" s="3">
        <v>0</v>
      </c>
      <c r="BI28" s="3">
        <v>1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4">
        <v>0</v>
      </c>
      <c r="BZ28" s="2">
        <v>0</v>
      </c>
      <c r="CA28" s="3">
        <v>0</v>
      </c>
      <c r="CB28" s="3">
        <v>0</v>
      </c>
      <c r="CC28" s="3">
        <v>1</v>
      </c>
      <c r="CD28" s="3">
        <v>0</v>
      </c>
      <c r="CE28" s="3">
        <v>1</v>
      </c>
      <c r="CF28" s="3">
        <v>1</v>
      </c>
      <c r="CG28" s="3">
        <v>0</v>
      </c>
      <c r="CH28" s="3">
        <v>0</v>
      </c>
      <c r="CI28" s="3">
        <v>1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1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4">
        <v>0</v>
      </c>
      <c r="DD28" s="19" t="s">
        <v>93</v>
      </c>
    </row>
    <row r="29" spans="1:108" x14ac:dyDescent="0.3">
      <c r="A29" s="2" t="s">
        <v>94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4">
        <v>0</v>
      </c>
      <c r="H29" s="2">
        <v>12</v>
      </c>
      <c r="I29" s="3">
        <v>180</v>
      </c>
      <c r="J29" s="3" t="s">
        <v>56</v>
      </c>
      <c r="K29" s="3" t="s">
        <v>56</v>
      </c>
      <c r="M29" s="19" t="s">
        <v>56</v>
      </c>
      <c r="N29" s="19">
        <v>2.8</v>
      </c>
      <c r="O29" s="19">
        <v>6.4</v>
      </c>
      <c r="P29" s="19">
        <v>428</v>
      </c>
      <c r="Q29" s="19">
        <v>340</v>
      </c>
      <c r="R29" s="19">
        <f t="shared" si="0"/>
        <v>88</v>
      </c>
      <c r="S29" s="19" t="s">
        <v>1</v>
      </c>
      <c r="AM29" s="2">
        <v>1</v>
      </c>
      <c r="AN29" s="3">
        <v>0</v>
      </c>
      <c r="AO29" s="3">
        <v>0</v>
      </c>
      <c r="AP29" s="3">
        <v>1</v>
      </c>
      <c r="AQ29" s="3">
        <v>0</v>
      </c>
      <c r="AR29" s="3">
        <v>1</v>
      </c>
      <c r="AS29" s="3">
        <v>0</v>
      </c>
      <c r="AT29" s="3">
        <v>1</v>
      </c>
      <c r="AU29" s="3">
        <v>0</v>
      </c>
      <c r="AV29" s="3">
        <v>1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1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4">
        <v>0</v>
      </c>
      <c r="BZ29" s="2">
        <v>0</v>
      </c>
      <c r="CA29" s="3">
        <v>0</v>
      </c>
      <c r="CB29" s="3">
        <v>0</v>
      </c>
      <c r="CC29" s="3">
        <v>1</v>
      </c>
      <c r="CD29" s="3">
        <v>0</v>
      </c>
      <c r="CE29" s="3">
        <v>0</v>
      </c>
      <c r="CF29" s="3">
        <v>1</v>
      </c>
      <c r="CG29" s="3">
        <v>0</v>
      </c>
      <c r="CH29" s="3">
        <v>0</v>
      </c>
      <c r="CI29" s="3">
        <v>1</v>
      </c>
      <c r="CJ29" s="3">
        <v>0</v>
      </c>
      <c r="CK29" s="3">
        <v>0</v>
      </c>
      <c r="CL29" s="3">
        <v>1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4">
        <v>0</v>
      </c>
      <c r="DD29" s="19" t="s">
        <v>95</v>
      </c>
    </row>
    <row r="30" spans="1:108" x14ac:dyDescent="0.3">
      <c r="A30" s="2" t="s">
        <v>84</v>
      </c>
      <c r="B30" s="3">
        <v>1</v>
      </c>
      <c r="C30" s="3">
        <v>0</v>
      </c>
      <c r="D30" s="3">
        <v>0</v>
      </c>
      <c r="E30" s="3">
        <v>0</v>
      </c>
      <c r="F30" s="3">
        <v>0</v>
      </c>
      <c r="G30" s="4">
        <v>0</v>
      </c>
      <c r="H30" s="2">
        <v>12</v>
      </c>
      <c r="I30" s="3">
        <v>240</v>
      </c>
      <c r="J30" s="3">
        <v>15</v>
      </c>
      <c r="K30" s="3">
        <v>10</v>
      </c>
      <c r="L30" s="4">
        <v>0</v>
      </c>
      <c r="M30" s="19" t="s">
        <v>56</v>
      </c>
      <c r="N30" s="19">
        <v>4.5</v>
      </c>
      <c r="O30" s="19">
        <v>21</v>
      </c>
      <c r="P30" s="19">
        <v>540</v>
      </c>
      <c r="Q30" s="19">
        <v>420</v>
      </c>
      <c r="R30" s="19">
        <f t="shared" si="0"/>
        <v>120</v>
      </c>
      <c r="S30" s="19" t="s">
        <v>2</v>
      </c>
      <c r="BZ30" s="2">
        <v>0</v>
      </c>
      <c r="CA30" s="3">
        <v>0</v>
      </c>
      <c r="CB30" s="3">
        <v>0</v>
      </c>
      <c r="CC30" s="3">
        <v>0</v>
      </c>
      <c r="CD30" s="3">
        <v>1</v>
      </c>
      <c r="CE30" s="3">
        <v>0</v>
      </c>
      <c r="CF30" s="3">
        <v>1</v>
      </c>
      <c r="CG30" s="3">
        <v>0</v>
      </c>
      <c r="CH30" s="3">
        <v>0</v>
      </c>
      <c r="CI30" s="3">
        <v>1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1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4">
        <v>0</v>
      </c>
      <c r="DD30" s="19" t="s">
        <v>96</v>
      </c>
    </row>
    <row r="31" spans="1:108" x14ac:dyDescent="0.3">
      <c r="A31" s="2" t="s">
        <v>84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4">
        <v>0</v>
      </c>
      <c r="H31" s="2">
        <v>3</v>
      </c>
      <c r="I31" s="3">
        <v>200</v>
      </c>
      <c r="J31" s="3">
        <v>7</v>
      </c>
      <c r="K31" s="3">
        <v>10</v>
      </c>
      <c r="L31" s="4">
        <v>1</v>
      </c>
      <c r="M31" s="19" t="s">
        <v>56</v>
      </c>
      <c r="N31" s="19">
        <v>3.5</v>
      </c>
      <c r="O31" s="19">
        <v>7.7</v>
      </c>
      <c r="P31" s="19">
        <v>490</v>
      </c>
      <c r="Q31" s="19">
        <v>340</v>
      </c>
      <c r="R31" s="19">
        <f t="shared" si="0"/>
        <v>150</v>
      </c>
      <c r="S31" s="19" t="s">
        <v>2</v>
      </c>
      <c r="T31" s="2">
        <v>0.51180000000000003</v>
      </c>
      <c r="U31" s="3">
        <v>0.43700000000000006</v>
      </c>
      <c r="V31" s="3">
        <v>5.1100000000000007E-2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4">
        <v>0</v>
      </c>
      <c r="AM31" s="2">
        <v>0</v>
      </c>
      <c r="AN31" s="3">
        <v>0</v>
      </c>
      <c r="AO31" s="3">
        <v>1</v>
      </c>
      <c r="AP31" s="3">
        <v>0</v>
      </c>
      <c r="AQ31" s="3">
        <v>1</v>
      </c>
      <c r="AR31" s="3">
        <v>1</v>
      </c>
      <c r="AS31" s="3">
        <v>0</v>
      </c>
      <c r="AT31" s="3">
        <v>1</v>
      </c>
      <c r="AU31" s="3">
        <v>0</v>
      </c>
      <c r="AV31" s="3">
        <v>1</v>
      </c>
      <c r="AW31" s="3">
        <v>0</v>
      </c>
      <c r="AX31" s="3">
        <v>0</v>
      </c>
      <c r="AY31" s="3">
        <v>1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1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4">
        <v>0</v>
      </c>
      <c r="BZ31" s="2">
        <v>1</v>
      </c>
      <c r="CA31" s="3">
        <v>0</v>
      </c>
      <c r="CB31" s="3">
        <v>1</v>
      </c>
      <c r="CC31" s="3">
        <v>1</v>
      </c>
      <c r="CD31" s="3">
        <v>1</v>
      </c>
      <c r="CE31" s="3">
        <v>1</v>
      </c>
      <c r="CF31" s="3">
        <v>1</v>
      </c>
      <c r="CG31" s="3">
        <v>0</v>
      </c>
      <c r="CH31" s="3">
        <v>0</v>
      </c>
      <c r="CI31" s="3">
        <v>1</v>
      </c>
      <c r="CJ31" s="3">
        <v>0</v>
      </c>
      <c r="CK31" s="3">
        <v>0</v>
      </c>
      <c r="CL31" s="3">
        <v>1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4">
        <v>0</v>
      </c>
      <c r="DD31" s="19" t="s">
        <v>97</v>
      </c>
    </row>
    <row r="32" spans="1:108" x14ac:dyDescent="0.3">
      <c r="A32" s="2" t="s">
        <v>98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4">
        <v>1</v>
      </c>
      <c r="H32" s="2">
        <v>12</v>
      </c>
      <c r="I32" s="3">
        <v>170</v>
      </c>
      <c r="J32" s="3">
        <v>400</v>
      </c>
      <c r="K32" s="3">
        <v>100</v>
      </c>
      <c r="L32" s="4">
        <v>0</v>
      </c>
      <c r="M32" s="19" t="s">
        <v>56</v>
      </c>
      <c r="N32" s="19">
        <v>2.2999999999999998</v>
      </c>
      <c r="O32" s="19">
        <v>5.7</v>
      </c>
      <c r="P32" s="19">
        <v>455</v>
      </c>
      <c r="Q32" s="19">
        <v>370</v>
      </c>
      <c r="R32" s="19">
        <f t="shared" si="0"/>
        <v>85</v>
      </c>
      <c r="S32" s="19" t="s">
        <v>1</v>
      </c>
      <c r="BZ32" s="2">
        <v>0</v>
      </c>
      <c r="CA32" s="3">
        <v>0</v>
      </c>
      <c r="CB32" s="3">
        <v>1</v>
      </c>
      <c r="CC32" s="3">
        <v>1</v>
      </c>
      <c r="CD32" s="3">
        <v>1</v>
      </c>
      <c r="CE32" s="3">
        <v>1</v>
      </c>
      <c r="CF32" s="3">
        <v>1</v>
      </c>
      <c r="CG32" s="3">
        <v>0</v>
      </c>
      <c r="CH32" s="3">
        <v>0</v>
      </c>
      <c r="CI32" s="3">
        <v>0</v>
      </c>
      <c r="CJ32" s="3">
        <v>0</v>
      </c>
      <c r="CK32" s="3">
        <v>1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1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4">
        <v>0</v>
      </c>
      <c r="DD32" s="19" t="s">
        <v>99</v>
      </c>
    </row>
    <row r="33" spans="1:108" x14ac:dyDescent="0.3">
      <c r="A33" s="2" t="s">
        <v>100</v>
      </c>
      <c r="B33" s="3">
        <v>0</v>
      </c>
      <c r="C33" s="3">
        <v>1</v>
      </c>
      <c r="D33" s="3">
        <v>0</v>
      </c>
      <c r="E33" s="3">
        <v>0</v>
      </c>
      <c r="F33" s="3">
        <v>0</v>
      </c>
      <c r="G33" s="4">
        <v>0</v>
      </c>
      <c r="H33" s="2">
        <v>5</v>
      </c>
      <c r="I33" s="3">
        <v>140</v>
      </c>
      <c r="J33" s="3">
        <v>5</v>
      </c>
      <c r="K33" s="3">
        <v>0</v>
      </c>
      <c r="L33" s="4">
        <v>0</v>
      </c>
      <c r="M33" s="19">
        <v>7.08</v>
      </c>
      <c r="N33" s="19">
        <v>4</v>
      </c>
      <c r="O33" s="19">
        <v>16.5</v>
      </c>
      <c r="P33" s="19">
        <v>584</v>
      </c>
      <c r="Q33" s="19">
        <v>432</v>
      </c>
      <c r="R33" s="19">
        <f t="shared" si="0"/>
        <v>152</v>
      </c>
      <c r="S33" s="19" t="s">
        <v>1</v>
      </c>
      <c r="T33" s="2">
        <v>0.66500000000000004</v>
      </c>
      <c r="U33" s="3">
        <v>0.2873</v>
      </c>
      <c r="V33" s="3">
        <v>4.6100000000000002E-2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4">
        <v>0</v>
      </c>
      <c r="AM33" s="2">
        <v>1</v>
      </c>
      <c r="AN33" s="3">
        <v>0</v>
      </c>
      <c r="AO33" s="3">
        <v>1</v>
      </c>
      <c r="AP33" s="3">
        <v>1</v>
      </c>
      <c r="AQ33" s="3">
        <v>1</v>
      </c>
      <c r="AR33" s="3">
        <v>1</v>
      </c>
      <c r="AS33" s="3">
        <v>0</v>
      </c>
      <c r="AT33" s="3">
        <v>1</v>
      </c>
      <c r="AU33" s="3">
        <v>0</v>
      </c>
      <c r="AV33" s="3">
        <v>1</v>
      </c>
      <c r="AW33" s="3">
        <v>0</v>
      </c>
      <c r="AX33" s="3">
        <v>0</v>
      </c>
      <c r="AY33" s="3">
        <v>1</v>
      </c>
      <c r="AZ33" s="3">
        <v>0</v>
      </c>
      <c r="BA33" s="3">
        <v>0</v>
      </c>
      <c r="BB33" s="3">
        <v>0</v>
      </c>
      <c r="BC33" s="3">
        <v>0</v>
      </c>
      <c r="BD33" s="3">
        <v>1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1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4">
        <v>0</v>
      </c>
      <c r="BZ33" s="2">
        <v>0</v>
      </c>
      <c r="CA33" s="3">
        <v>0</v>
      </c>
      <c r="CB33" s="3">
        <v>0</v>
      </c>
      <c r="CC33" s="3">
        <v>0</v>
      </c>
      <c r="CD33" s="3">
        <v>1</v>
      </c>
      <c r="CE33" s="3">
        <v>0</v>
      </c>
      <c r="CF33" s="3">
        <v>1</v>
      </c>
      <c r="CG33" s="3">
        <v>0</v>
      </c>
      <c r="CH33" s="3">
        <v>0</v>
      </c>
      <c r="CI33" s="3">
        <v>1</v>
      </c>
      <c r="CJ33" s="3">
        <v>0</v>
      </c>
      <c r="CK33" s="3">
        <v>0</v>
      </c>
      <c r="CL33" s="3">
        <v>1</v>
      </c>
      <c r="CM33" s="3">
        <v>0</v>
      </c>
      <c r="CN33" s="3">
        <v>1</v>
      </c>
      <c r="CO33" s="3">
        <v>0</v>
      </c>
      <c r="CP33" s="3">
        <v>0</v>
      </c>
      <c r="CQ33" s="3">
        <v>1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4">
        <v>0</v>
      </c>
      <c r="DD33" s="19" t="s">
        <v>101</v>
      </c>
    </row>
    <row r="34" spans="1:108" x14ac:dyDescent="0.3">
      <c r="A34" s="2" t="s">
        <v>102</v>
      </c>
      <c r="B34" s="3">
        <v>0</v>
      </c>
      <c r="C34" s="3">
        <v>0</v>
      </c>
      <c r="D34" s="3">
        <v>0</v>
      </c>
      <c r="E34" s="3">
        <v>0</v>
      </c>
      <c r="F34" s="3">
        <v>1</v>
      </c>
      <c r="G34" s="4">
        <v>0</v>
      </c>
      <c r="H34" s="2">
        <v>1</v>
      </c>
      <c r="I34" s="3">
        <v>100</v>
      </c>
      <c r="J34" s="3">
        <v>1.5</v>
      </c>
      <c r="K34" s="3">
        <v>30</v>
      </c>
      <c r="L34" s="4">
        <v>0</v>
      </c>
      <c r="M34" s="19">
        <v>29.1</v>
      </c>
      <c r="N34" s="19">
        <v>2.2999999999999998</v>
      </c>
      <c r="O34" s="19">
        <v>2.8</v>
      </c>
      <c r="P34" s="19">
        <v>480</v>
      </c>
      <c r="Q34" s="19">
        <v>380</v>
      </c>
      <c r="R34" s="19">
        <f t="shared" si="0"/>
        <v>100</v>
      </c>
      <c r="S34" s="19" t="s">
        <v>1</v>
      </c>
      <c r="T34" s="2">
        <v>0.42899999999999999</v>
      </c>
      <c r="U34" s="3">
        <v>0.52900000000000003</v>
      </c>
      <c r="V34" s="3">
        <v>0</v>
      </c>
      <c r="W34" s="3">
        <v>0</v>
      </c>
      <c r="X34" s="3">
        <v>0</v>
      </c>
      <c r="Y34" s="3">
        <v>0</v>
      </c>
      <c r="Z34" s="3">
        <v>4.2000000000000003E-2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4">
        <v>0</v>
      </c>
      <c r="BZ34" s="2">
        <v>0</v>
      </c>
      <c r="CA34" s="3">
        <v>0</v>
      </c>
      <c r="CB34" s="3">
        <v>0</v>
      </c>
      <c r="CC34" s="3">
        <v>1</v>
      </c>
      <c r="CD34" s="3">
        <v>1</v>
      </c>
      <c r="CE34" s="3">
        <v>0</v>
      </c>
      <c r="CF34" s="3">
        <v>1</v>
      </c>
      <c r="CG34" s="3">
        <v>0</v>
      </c>
      <c r="CH34" s="3">
        <v>0</v>
      </c>
      <c r="CI34" s="3">
        <v>1</v>
      </c>
      <c r="CJ34" s="3">
        <v>0</v>
      </c>
      <c r="CK34" s="3">
        <v>0</v>
      </c>
      <c r="CL34" s="3">
        <v>1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4">
        <v>0</v>
      </c>
      <c r="DD34" s="19" t="s">
        <v>103</v>
      </c>
    </row>
    <row r="35" spans="1:108" x14ac:dyDescent="0.3">
      <c r="A35" s="2" t="s">
        <v>102</v>
      </c>
      <c r="B35" s="3">
        <v>0</v>
      </c>
      <c r="C35" s="3">
        <v>0</v>
      </c>
      <c r="D35" s="3">
        <v>0</v>
      </c>
      <c r="E35" s="3">
        <v>0</v>
      </c>
      <c r="F35" s="3">
        <v>1</v>
      </c>
      <c r="G35" s="4">
        <v>0</v>
      </c>
      <c r="H35" s="2">
        <v>1</v>
      </c>
      <c r="I35" s="3">
        <v>120</v>
      </c>
      <c r="J35" s="3">
        <v>1.5</v>
      </c>
      <c r="K35" s="3">
        <v>30</v>
      </c>
      <c r="L35" s="4">
        <v>0</v>
      </c>
      <c r="M35" s="19">
        <v>26.2</v>
      </c>
      <c r="N35" s="19">
        <v>1.3</v>
      </c>
      <c r="O35" s="19">
        <v>5.7</v>
      </c>
      <c r="P35" s="19">
        <v>490</v>
      </c>
      <c r="Q35" s="19">
        <v>390</v>
      </c>
      <c r="R35" s="19">
        <f t="shared" si="0"/>
        <v>100</v>
      </c>
      <c r="S35" s="19" t="s">
        <v>1</v>
      </c>
      <c r="T35" s="2">
        <v>0.40799999999999997</v>
      </c>
      <c r="U35" s="3">
        <v>0.54799999999999993</v>
      </c>
      <c r="V35" s="3">
        <v>0</v>
      </c>
      <c r="W35" s="3">
        <v>0</v>
      </c>
      <c r="X35" s="3">
        <v>0</v>
      </c>
      <c r="Y35" s="3">
        <v>0</v>
      </c>
      <c r="Z35" s="3">
        <v>4.4000000000000004E-2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4">
        <v>0</v>
      </c>
      <c r="BZ35" s="2">
        <v>0</v>
      </c>
      <c r="CA35" s="3">
        <v>0</v>
      </c>
      <c r="CB35" s="3">
        <v>0</v>
      </c>
      <c r="CC35" s="3">
        <v>1</v>
      </c>
      <c r="CD35" s="3">
        <v>1</v>
      </c>
      <c r="CE35" s="3">
        <v>0</v>
      </c>
      <c r="CF35" s="3">
        <v>1</v>
      </c>
      <c r="CG35" s="3">
        <v>0</v>
      </c>
      <c r="CH35" s="3">
        <v>0</v>
      </c>
      <c r="CI35" s="3">
        <v>1</v>
      </c>
      <c r="CJ35" s="3">
        <v>0</v>
      </c>
      <c r="CK35" s="3">
        <v>0</v>
      </c>
      <c r="CL35" s="3">
        <v>1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4">
        <v>0</v>
      </c>
      <c r="DD35" s="19" t="s">
        <v>103</v>
      </c>
    </row>
    <row r="36" spans="1:108" x14ac:dyDescent="0.3">
      <c r="A36" s="2" t="s">
        <v>102</v>
      </c>
      <c r="B36" s="3">
        <v>0</v>
      </c>
      <c r="C36" s="3">
        <v>0</v>
      </c>
      <c r="D36" s="3">
        <v>0</v>
      </c>
      <c r="E36" s="3">
        <v>0</v>
      </c>
      <c r="F36" s="3">
        <v>1</v>
      </c>
      <c r="G36" s="4">
        <v>0</v>
      </c>
      <c r="H36" s="2">
        <v>1</v>
      </c>
      <c r="I36" s="3">
        <v>140</v>
      </c>
      <c r="J36" s="3">
        <v>1.5</v>
      </c>
      <c r="K36" s="3">
        <v>30</v>
      </c>
      <c r="L36" s="4">
        <v>0</v>
      </c>
      <c r="M36" s="19">
        <v>23.8</v>
      </c>
      <c r="N36" s="19">
        <v>1.9</v>
      </c>
      <c r="O36" s="19">
        <v>9.5</v>
      </c>
      <c r="P36" s="19">
        <v>460</v>
      </c>
      <c r="Q36" s="19">
        <v>370</v>
      </c>
      <c r="R36" s="19">
        <f t="shared" si="0"/>
        <v>90</v>
      </c>
      <c r="S36" s="19" t="s">
        <v>1</v>
      </c>
      <c r="T36" s="2">
        <v>0.39500000000000002</v>
      </c>
      <c r="U36" s="3">
        <v>0.55100000000000005</v>
      </c>
      <c r="V36" s="3">
        <v>0</v>
      </c>
      <c r="W36" s="3">
        <v>0</v>
      </c>
      <c r="X36" s="3">
        <v>0</v>
      </c>
      <c r="Y36" s="3">
        <v>0</v>
      </c>
      <c r="Z36" s="3">
        <v>4.4000000000000004E-2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4">
        <v>0</v>
      </c>
      <c r="BZ36" s="2">
        <v>0</v>
      </c>
      <c r="CA36" s="3">
        <v>0</v>
      </c>
      <c r="CB36" s="3">
        <v>0</v>
      </c>
      <c r="CC36" s="3">
        <v>1</v>
      </c>
      <c r="CD36" s="3">
        <v>1</v>
      </c>
      <c r="CE36" s="3">
        <v>0</v>
      </c>
      <c r="CF36" s="3">
        <v>1</v>
      </c>
      <c r="CG36" s="3">
        <v>0</v>
      </c>
      <c r="CH36" s="3">
        <v>0</v>
      </c>
      <c r="CI36" s="3">
        <v>1</v>
      </c>
      <c r="CJ36" s="3">
        <v>0</v>
      </c>
      <c r="CK36" s="3">
        <v>0</v>
      </c>
      <c r="CL36" s="3">
        <v>1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4">
        <v>0</v>
      </c>
      <c r="DD36" s="19" t="s">
        <v>103</v>
      </c>
    </row>
    <row r="37" spans="1:108" x14ac:dyDescent="0.3">
      <c r="A37" s="2" t="s">
        <v>102</v>
      </c>
      <c r="B37" s="3">
        <v>0</v>
      </c>
      <c r="C37" s="3">
        <v>0</v>
      </c>
      <c r="D37" s="3">
        <v>0</v>
      </c>
      <c r="E37" s="3">
        <v>0</v>
      </c>
      <c r="F37" s="3">
        <v>1</v>
      </c>
      <c r="G37" s="4">
        <v>0</v>
      </c>
      <c r="H37" s="2">
        <v>1</v>
      </c>
      <c r="I37" s="3">
        <v>160</v>
      </c>
      <c r="J37" s="3">
        <v>1.5</v>
      </c>
      <c r="K37" s="3">
        <v>30</v>
      </c>
      <c r="L37" s="4">
        <v>0</v>
      </c>
      <c r="M37" s="19">
        <v>22.7</v>
      </c>
      <c r="N37" s="19">
        <v>2.9</v>
      </c>
      <c r="O37" s="19">
        <v>16.600000000000001</v>
      </c>
      <c r="P37" s="19">
        <v>460</v>
      </c>
      <c r="Q37" s="19">
        <v>360</v>
      </c>
      <c r="R37" s="19">
        <f t="shared" si="0"/>
        <v>100</v>
      </c>
      <c r="S37" s="19" t="s">
        <v>1</v>
      </c>
      <c r="T37" s="2">
        <v>0.374</v>
      </c>
      <c r="U37" s="3">
        <v>0.58599999999999997</v>
      </c>
      <c r="V37" s="3">
        <v>0</v>
      </c>
      <c r="W37" s="3">
        <v>0</v>
      </c>
      <c r="X37" s="3">
        <v>0</v>
      </c>
      <c r="Y37" s="3">
        <v>0</v>
      </c>
      <c r="Z37" s="3">
        <v>0.04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4">
        <v>0</v>
      </c>
      <c r="AM37" s="2">
        <v>0</v>
      </c>
      <c r="AN37" s="3">
        <v>0</v>
      </c>
      <c r="AO37" s="3">
        <v>1</v>
      </c>
      <c r="AP37" s="3">
        <v>1</v>
      </c>
      <c r="AQ37" s="3">
        <v>0</v>
      </c>
      <c r="AR37" s="3">
        <v>1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4">
        <v>0</v>
      </c>
      <c r="BZ37" s="2">
        <v>0</v>
      </c>
      <c r="CA37" s="3">
        <v>0</v>
      </c>
      <c r="CB37" s="3">
        <v>0</v>
      </c>
      <c r="CC37" s="3">
        <v>1</v>
      </c>
      <c r="CD37" s="3">
        <v>1</v>
      </c>
      <c r="CE37" s="3">
        <v>0</v>
      </c>
      <c r="CF37" s="3">
        <v>1</v>
      </c>
      <c r="CG37" s="3">
        <v>0</v>
      </c>
      <c r="CH37" s="3">
        <v>0</v>
      </c>
      <c r="CI37" s="3">
        <v>1</v>
      </c>
      <c r="CJ37" s="3">
        <v>0</v>
      </c>
      <c r="CK37" s="3">
        <v>0</v>
      </c>
      <c r="CL37" s="3">
        <v>1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4">
        <v>0</v>
      </c>
      <c r="DD37" s="19" t="s">
        <v>103</v>
      </c>
    </row>
    <row r="38" spans="1:108" x14ac:dyDescent="0.3">
      <c r="A38" s="2" t="s">
        <v>102</v>
      </c>
      <c r="B38" s="3">
        <v>0</v>
      </c>
      <c r="C38" s="3">
        <v>0</v>
      </c>
      <c r="D38" s="3">
        <v>0</v>
      </c>
      <c r="E38" s="3">
        <v>0</v>
      </c>
      <c r="F38" s="3">
        <v>1</v>
      </c>
      <c r="G38" s="4">
        <v>0</v>
      </c>
      <c r="H38" s="2">
        <v>1</v>
      </c>
      <c r="I38" s="3">
        <v>180</v>
      </c>
      <c r="J38" s="3">
        <v>1.5</v>
      </c>
      <c r="K38" s="3">
        <v>30</v>
      </c>
      <c r="L38" s="4">
        <v>0</v>
      </c>
      <c r="M38" s="19">
        <v>19.600000000000001</v>
      </c>
      <c r="N38" s="19">
        <v>2.4</v>
      </c>
      <c r="O38" s="19">
        <v>16.600000000000001</v>
      </c>
      <c r="P38" s="19">
        <v>460</v>
      </c>
      <c r="Q38" s="19">
        <v>360</v>
      </c>
      <c r="R38" s="19">
        <f t="shared" si="0"/>
        <v>100</v>
      </c>
      <c r="S38" s="19" t="s">
        <v>1</v>
      </c>
      <c r="T38" s="2">
        <v>0.35</v>
      </c>
      <c r="U38" s="3">
        <v>0.61199999999999999</v>
      </c>
      <c r="V38" s="3">
        <v>0</v>
      </c>
      <c r="W38" s="3">
        <v>0</v>
      </c>
      <c r="X38" s="3">
        <v>0</v>
      </c>
      <c r="Y38" s="3">
        <v>0</v>
      </c>
      <c r="Z38" s="3">
        <v>3.7999999999999999E-2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4">
        <v>0</v>
      </c>
      <c r="BZ38" s="2">
        <v>0</v>
      </c>
      <c r="CA38" s="3">
        <v>0</v>
      </c>
      <c r="CB38" s="3">
        <v>0</v>
      </c>
      <c r="CC38" s="3">
        <v>1</v>
      </c>
      <c r="CD38" s="3">
        <v>1</v>
      </c>
      <c r="CE38" s="3">
        <v>0</v>
      </c>
      <c r="CF38" s="3">
        <v>1</v>
      </c>
      <c r="CG38" s="3">
        <v>0</v>
      </c>
      <c r="CH38" s="3">
        <v>0</v>
      </c>
      <c r="CI38" s="3">
        <v>1</v>
      </c>
      <c r="CJ38" s="3">
        <v>0</v>
      </c>
      <c r="CK38" s="3">
        <v>0</v>
      </c>
      <c r="CL38" s="3">
        <v>1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4">
        <v>0</v>
      </c>
      <c r="DD38" s="19" t="s">
        <v>103</v>
      </c>
    </row>
    <row r="39" spans="1:108" x14ac:dyDescent="0.3">
      <c r="A39" s="2" t="s">
        <v>104</v>
      </c>
      <c r="B39" s="6">
        <v>0</v>
      </c>
      <c r="C39" s="6">
        <v>0</v>
      </c>
      <c r="D39" s="6">
        <v>1</v>
      </c>
      <c r="E39" s="6">
        <v>0</v>
      </c>
      <c r="F39" s="6">
        <v>0</v>
      </c>
      <c r="G39" s="7">
        <v>0</v>
      </c>
      <c r="H39" s="2">
        <v>2</v>
      </c>
      <c r="I39" s="3">
        <v>180</v>
      </c>
      <c r="J39" s="3" t="s">
        <v>56</v>
      </c>
      <c r="K39" s="3">
        <v>100</v>
      </c>
      <c r="L39" s="4">
        <v>0</v>
      </c>
      <c r="M39" s="19" t="s">
        <v>56</v>
      </c>
      <c r="N39" s="19">
        <v>4</v>
      </c>
      <c r="O39" s="19" t="s">
        <v>56</v>
      </c>
      <c r="P39" s="19">
        <v>640</v>
      </c>
      <c r="Q39" s="19">
        <v>490</v>
      </c>
      <c r="R39" s="19">
        <f t="shared" si="0"/>
        <v>150</v>
      </c>
      <c r="T39" s="2">
        <v>0.43619999999999998</v>
      </c>
      <c r="U39" s="3">
        <v>0.43430000000000002</v>
      </c>
      <c r="V39" s="3">
        <v>0.1295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4">
        <v>0</v>
      </c>
      <c r="BZ39" s="2">
        <v>0</v>
      </c>
      <c r="CA39" s="3">
        <v>0</v>
      </c>
      <c r="CB39" s="3">
        <v>0</v>
      </c>
      <c r="CC39" s="3">
        <v>1</v>
      </c>
      <c r="CD39" s="3">
        <v>1</v>
      </c>
      <c r="CE39" s="3">
        <v>1</v>
      </c>
      <c r="CF39" s="3">
        <v>1</v>
      </c>
      <c r="CG39" s="3">
        <v>0</v>
      </c>
      <c r="CH39" s="3">
        <v>0</v>
      </c>
      <c r="CI39" s="3">
        <v>1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4">
        <v>0</v>
      </c>
      <c r="DD39" s="19" t="s">
        <v>105</v>
      </c>
    </row>
    <row r="40" spans="1:108" x14ac:dyDescent="0.3">
      <c r="A40" s="11" t="s">
        <v>106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  <c r="G40" s="4">
        <v>0</v>
      </c>
      <c r="H40" s="2">
        <v>6</v>
      </c>
      <c r="I40" s="3">
        <v>200</v>
      </c>
      <c r="J40" s="3">
        <v>4</v>
      </c>
      <c r="K40" s="3">
        <v>200</v>
      </c>
      <c r="L40" s="4">
        <v>0</v>
      </c>
      <c r="M40" s="19" t="s">
        <v>107</v>
      </c>
      <c r="N40" s="19" t="s">
        <v>56</v>
      </c>
      <c r="O40" s="19">
        <v>6.6</v>
      </c>
      <c r="P40" s="19">
        <v>440</v>
      </c>
      <c r="Q40" s="19">
        <v>360</v>
      </c>
      <c r="R40" s="19">
        <f t="shared" si="0"/>
        <v>80</v>
      </c>
      <c r="S40" s="19" t="s">
        <v>1</v>
      </c>
      <c r="T40" s="2">
        <v>0.46</v>
      </c>
      <c r="U40" s="3">
        <v>0.30199999999999999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4">
        <v>0</v>
      </c>
      <c r="BZ40" s="2">
        <v>0</v>
      </c>
      <c r="CA40" s="3">
        <v>0</v>
      </c>
      <c r="CB40" s="3">
        <v>0</v>
      </c>
      <c r="CC40" s="3">
        <v>1</v>
      </c>
      <c r="CD40" s="3">
        <v>1</v>
      </c>
      <c r="CE40" s="3">
        <v>0</v>
      </c>
      <c r="CF40" s="3">
        <v>1</v>
      </c>
      <c r="CG40" s="3">
        <v>0</v>
      </c>
      <c r="CH40" s="3">
        <v>0</v>
      </c>
      <c r="CI40" s="3">
        <v>1</v>
      </c>
      <c r="CJ40" s="3">
        <v>0</v>
      </c>
      <c r="CK40" s="3">
        <v>0</v>
      </c>
      <c r="CL40" s="3">
        <v>1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4">
        <v>0</v>
      </c>
      <c r="DD40" s="19" t="s">
        <v>108</v>
      </c>
    </row>
    <row r="41" spans="1:108" x14ac:dyDescent="0.3">
      <c r="A41" s="11" t="s">
        <v>106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  <c r="G41" s="4">
        <v>0</v>
      </c>
      <c r="H41" s="2">
        <v>12</v>
      </c>
      <c r="I41" s="3">
        <v>200</v>
      </c>
      <c r="J41" s="3">
        <v>4</v>
      </c>
      <c r="K41" s="3">
        <v>200</v>
      </c>
      <c r="L41" s="4">
        <v>0</v>
      </c>
      <c r="M41" s="19">
        <v>29.7</v>
      </c>
      <c r="N41" s="19">
        <v>2</v>
      </c>
      <c r="O41" s="19">
        <v>8.5</v>
      </c>
      <c r="P41" s="19">
        <v>440</v>
      </c>
      <c r="Q41" s="19">
        <v>360</v>
      </c>
      <c r="R41" s="19">
        <f t="shared" si="0"/>
        <v>80</v>
      </c>
      <c r="S41" s="19" t="s">
        <v>1</v>
      </c>
      <c r="T41" s="2">
        <v>0.60499999999999998</v>
      </c>
      <c r="U41" s="3">
        <v>0.32500000000000001</v>
      </c>
      <c r="V41" s="3">
        <v>1.2800000000000001E-2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4">
        <v>0</v>
      </c>
      <c r="BZ41" s="2">
        <v>0</v>
      </c>
      <c r="CA41" s="3">
        <v>0</v>
      </c>
      <c r="CB41" s="3">
        <v>0</v>
      </c>
      <c r="CC41" s="3">
        <v>1</v>
      </c>
      <c r="CD41" s="3">
        <v>1</v>
      </c>
      <c r="CE41" s="3">
        <v>0</v>
      </c>
      <c r="CF41" s="3">
        <v>1</v>
      </c>
      <c r="CG41" s="3">
        <v>0</v>
      </c>
      <c r="CH41" s="3">
        <v>0</v>
      </c>
      <c r="CI41" s="3">
        <v>1</v>
      </c>
      <c r="CJ41" s="3">
        <v>0</v>
      </c>
      <c r="CK41" s="3">
        <v>0</v>
      </c>
      <c r="CL41" s="3">
        <v>1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4">
        <v>0</v>
      </c>
      <c r="DD41" s="19" t="s">
        <v>108</v>
      </c>
    </row>
    <row r="42" spans="1:108" x14ac:dyDescent="0.3">
      <c r="A42" s="11" t="s">
        <v>106</v>
      </c>
      <c r="B42" s="3">
        <v>0</v>
      </c>
      <c r="C42" s="3">
        <v>1</v>
      </c>
      <c r="D42" s="3">
        <v>0</v>
      </c>
      <c r="E42" s="3">
        <v>0</v>
      </c>
      <c r="F42" s="3">
        <v>0</v>
      </c>
      <c r="G42" s="4">
        <v>0</v>
      </c>
      <c r="H42" s="2">
        <v>24</v>
      </c>
      <c r="I42" s="3">
        <v>200</v>
      </c>
      <c r="J42" s="3">
        <v>4</v>
      </c>
      <c r="K42" s="3">
        <v>200</v>
      </c>
      <c r="L42" s="4">
        <v>0</v>
      </c>
      <c r="M42" s="19">
        <v>16.7</v>
      </c>
      <c r="N42" s="19" t="s">
        <v>56</v>
      </c>
      <c r="O42" s="19">
        <v>82.7</v>
      </c>
      <c r="P42" s="19">
        <v>440</v>
      </c>
      <c r="Q42" s="19">
        <v>360</v>
      </c>
      <c r="R42" s="19">
        <f t="shared" si="0"/>
        <v>80</v>
      </c>
      <c r="S42" s="19" t="s">
        <v>1</v>
      </c>
      <c r="T42" s="2">
        <v>0.66900000000000004</v>
      </c>
      <c r="U42" s="3">
        <v>0.26700000000000002</v>
      </c>
      <c r="V42" s="3">
        <v>1.03E-2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4">
        <v>0</v>
      </c>
      <c r="BZ42" s="2">
        <v>0</v>
      </c>
      <c r="CA42" s="3">
        <v>0</v>
      </c>
      <c r="CB42" s="3">
        <v>0</v>
      </c>
      <c r="CC42" s="3">
        <v>1</v>
      </c>
      <c r="CD42" s="3">
        <v>1</v>
      </c>
      <c r="CE42" s="3">
        <v>0</v>
      </c>
      <c r="CF42" s="3">
        <v>1</v>
      </c>
      <c r="CG42" s="3">
        <v>0</v>
      </c>
      <c r="CH42" s="3">
        <v>0</v>
      </c>
      <c r="CI42" s="3">
        <v>1</v>
      </c>
      <c r="CJ42" s="3">
        <v>0</v>
      </c>
      <c r="CK42" s="3">
        <v>0</v>
      </c>
      <c r="CL42" s="3">
        <v>1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4">
        <v>0</v>
      </c>
      <c r="DD42" s="19" t="s">
        <v>108</v>
      </c>
    </row>
    <row r="43" spans="1:108" x14ac:dyDescent="0.3">
      <c r="A43" s="12" t="s">
        <v>109</v>
      </c>
      <c r="B43" s="13">
        <v>0</v>
      </c>
      <c r="C43" s="13">
        <v>0</v>
      </c>
      <c r="D43" s="13">
        <v>1</v>
      </c>
      <c r="E43" s="13">
        <v>0</v>
      </c>
      <c r="F43" s="13">
        <v>0</v>
      </c>
      <c r="G43" s="14">
        <v>0</v>
      </c>
      <c r="H43" s="2">
        <v>10</v>
      </c>
      <c r="I43" s="3">
        <v>180</v>
      </c>
      <c r="J43" s="3">
        <v>5</v>
      </c>
      <c r="K43" s="3">
        <v>60</v>
      </c>
      <c r="L43" s="4">
        <v>0</v>
      </c>
      <c r="M43" s="19" t="s">
        <v>56</v>
      </c>
      <c r="N43" s="19">
        <v>2.6</v>
      </c>
      <c r="O43" s="19" t="s">
        <v>56</v>
      </c>
      <c r="P43" s="19">
        <v>429</v>
      </c>
      <c r="Q43" s="19">
        <v>362</v>
      </c>
      <c r="R43" s="19">
        <f t="shared" si="0"/>
        <v>67</v>
      </c>
      <c r="S43" s="19" t="s">
        <v>1</v>
      </c>
      <c r="T43" s="2">
        <v>0.58200000000000007</v>
      </c>
      <c r="U43" s="3">
        <v>0.27200000000000002</v>
      </c>
      <c r="V43" s="3">
        <v>5.79E-2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4">
        <v>0</v>
      </c>
      <c r="AM43" s="2">
        <v>0</v>
      </c>
      <c r="AN43" s="3">
        <v>0</v>
      </c>
      <c r="AO43" s="3">
        <v>1</v>
      </c>
      <c r="AP43" s="3">
        <v>1</v>
      </c>
      <c r="AQ43" s="3">
        <v>1</v>
      </c>
      <c r="AR43" s="3">
        <v>1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1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4">
        <v>0</v>
      </c>
      <c r="BZ43" s="2">
        <v>0</v>
      </c>
      <c r="CA43" s="3">
        <v>0</v>
      </c>
      <c r="CB43" s="3">
        <v>1</v>
      </c>
      <c r="CC43" s="3">
        <v>1</v>
      </c>
      <c r="CD43" s="3">
        <v>1</v>
      </c>
      <c r="CE43" s="3">
        <v>0</v>
      </c>
      <c r="CF43" s="3">
        <v>1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1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4">
        <v>0</v>
      </c>
      <c r="DD43" s="19" t="s">
        <v>110</v>
      </c>
    </row>
    <row r="44" spans="1:108" x14ac:dyDescent="0.3">
      <c r="A44" s="15" t="s">
        <v>111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4">
        <v>0</v>
      </c>
      <c r="H44" s="2">
        <v>18</v>
      </c>
      <c r="I44" s="3">
        <v>160</v>
      </c>
      <c r="J44" s="3">
        <v>50</v>
      </c>
      <c r="K44" s="3">
        <v>50</v>
      </c>
      <c r="L44" s="4">
        <v>0</v>
      </c>
      <c r="M44" s="19" t="s">
        <v>56</v>
      </c>
      <c r="N44" s="19" t="s">
        <v>56</v>
      </c>
      <c r="O44" s="19" t="s">
        <v>56</v>
      </c>
      <c r="P44" s="19">
        <v>459</v>
      </c>
      <c r="Q44" s="19">
        <v>370</v>
      </c>
      <c r="R44" s="19">
        <f t="shared" si="0"/>
        <v>89</v>
      </c>
      <c r="S44" s="19" t="s">
        <v>2</v>
      </c>
      <c r="BZ44" s="2">
        <v>0</v>
      </c>
      <c r="CA44" s="3">
        <v>0</v>
      </c>
      <c r="CB44" s="3">
        <v>1</v>
      </c>
      <c r="CC44" s="3">
        <v>1</v>
      </c>
      <c r="CD44" s="3">
        <v>1</v>
      </c>
      <c r="CE44" s="3">
        <v>1</v>
      </c>
      <c r="CF44" s="3">
        <v>1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4">
        <v>0</v>
      </c>
      <c r="DD44" s="19" t="s">
        <v>112</v>
      </c>
    </row>
    <row r="45" spans="1:108" x14ac:dyDescent="0.3">
      <c r="A45" s="11" t="s">
        <v>113</v>
      </c>
      <c r="B45" s="16">
        <v>0</v>
      </c>
      <c r="C45" s="16">
        <v>0</v>
      </c>
      <c r="D45" s="16">
        <v>0</v>
      </c>
      <c r="E45" s="16">
        <v>0</v>
      </c>
      <c r="F45" s="16">
        <v>1</v>
      </c>
      <c r="G45" s="17">
        <v>0</v>
      </c>
      <c r="H45" s="2">
        <v>3</v>
      </c>
      <c r="I45" s="3">
        <v>180</v>
      </c>
      <c r="J45" s="3">
        <v>1</v>
      </c>
      <c r="K45" s="3">
        <v>20</v>
      </c>
      <c r="L45" s="4">
        <v>0</v>
      </c>
      <c r="M45" s="19">
        <v>9.3000000000000007</v>
      </c>
      <c r="N45" s="19">
        <v>1.8</v>
      </c>
      <c r="O45" s="19">
        <v>12.3</v>
      </c>
      <c r="P45" s="19">
        <v>475</v>
      </c>
      <c r="Q45" s="19">
        <v>370</v>
      </c>
      <c r="R45" s="19">
        <f t="shared" si="0"/>
        <v>105</v>
      </c>
      <c r="S45" s="19" t="s">
        <v>1</v>
      </c>
      <c r="AM45" s="2">
        <v>0</v>
      </c>
      <c r="AN45" s="3">
        <v>0</v>
      </c>
      <c r="AO45" s="3">
        <v>1</v>
      </c>
      <c r="AP45" s="3">
        <v>1</v>
      </c>
      <c r="AQ45" s="3">
        <v>0</v>
      </c>
      <c r="AR45" s="3">
        <v>1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4">
        <v>0</v>
      </c>
      <c r="BZ45" s="2">
        <v>0</v>
      </c>
      <c r="CA45" s="3">
        <v>0</v>
      </c>
      <c r="CB45" s="3">
        <v>1</v>
      </c>
      <c r="CC45" s="3">
        <v>1</v>
      </c>
      <c r="CD45" s="3">
        <v>1</v>
      </c>
      <c r="CE45" s="3">
        <v>1</v>
      </c>
      <c r="CF45" s="3">
        <v>1</v>
      </c>
      <c r="CG45" s="3">
        <v>0</v>
      </c>
      <c r="CH45" s="3">
        <v>0</v>
      </c>
      <c r="CI45" s="3">
        <v>1</v>
      </c>
      <c r="CJ45" s="3">
        <v>0</v>
      </c>
      <c r="CK45" s="3">
        <v>0</v>
      </c>
      <c r="CL45" s="3">
        <v>1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4">
        <v>0</v>
      </c>
      <c r="DD45" s="20" t="s">
        <v>114</v>
      </c>
    </row>
    <row r="46" spans="1:108" x14ac:dyDescent="0.3">
      <c r="A46" s="2" t="s">
        <v>115</v>
      </c>
      <c r="B46" s="3">
        <v>1</v>
      </c>
      <c r="C46" s="3">
        <v>0</v>
      </c>
      <c r="D46" s="3">
        <v>0</v>
      </c>
      <c r="E46" s="3">
        <v>0</v>
      </c>
      <c r="F46" s="3">
        <v>0</v>
      </c>
      <c r="G46" s="4">
        <v>0</v>
      </c>
      <c r="H46" s="2">
        <v>12</v>
      </c>
      <c r="I46" s="3">
        <v>180</v>
      </c>
      <c r="J46" s="3">
        <v>29</v>
      </c>
      <c r="K46" s="3">
        <v>0</v>
      </c>
      <c r="L46" s="4">
        <v>1</v>
      </c>
      <c r="M46" s="19" t="s">
        <v>56</v>
      </c>
      <c r="N46" s="19">
        <v>4.08</v>
      </c>
      <c r="O46" s="19">
        <v>0.41</v>
      </c>
      <c r="P46" s="19">
        <v>400</v>
      </c>
      <c r="Q46" s="19">
        <v>317</v>
      </c>
      <c r="R46" s="19">
        <f t="shared" si="0"/>
        <v>83</v>
      </c>
      <c r="S46" s="19" t="s">
        <v>1</v>
      </c>
      <c r="T46" s="2">
        <v>0.73799999999999999</v>
      </c>
      <c r="U46" s="3">
        <v>0.17499999999999999</v>
      </c>
      <c r="V46" s="3">
        <v>8.6999999999999994E-2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4">
        <v>0</v>
      </c>
      <c r="AM46" s="2">
        <v>1</v>
      </c>
      <c r="AN46" s="3">
        <v>0</v>
      </c>
      <c r="AO46" s="3">
        <v>0</v>
      </c>
      <c r="AP46" s="3">
        <v>1</v>
      </c>
      <c r="AQ46" s="3">
        <v>0</v>
      </c>
      <c r="AR46" s="3">
        <v>0</v>
      </c>
      <c r="AS46" s="3">
        <v>1</v>
      </c>
      <c r="AT46" s="3">
        <v>1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1</v>
      </c>
      <c r="BH46" s="3">
        <v>0</v>
      </c>
      <c r="BI46" s="3">
        <v>0</v>
      </c>
      <c r="BJ46" s="3">
        <v>0</v>
      </c>
      <c r="BK46" s="3">
        <v>0</v>
      </c>
      <c r="BL46" s="3">
        <v>1</v>
      </c>
      <c r="BM46" s="3">
        <v>1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4">
        <v>0</v>
      </c>
      <c r="BZ46" s="2">
        <v>0</v>
      </c>
      <c r="CA46" s="3">
        <v>0</v>
      </c>
      <c r="CB46" s="3">
        <v>1</v>
      </c>
      <c r="CC46" s="3">
        <v>0</v>
      </c>
      <c r="CD46" s="3">
        <v>1</v>
      </c>
      <c r="CE46" s="3">
        <v>1</v>
      </c>
      <c r="CF46" s="3">
        <v>1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1</v>
      </c>
      <c r="CM46" s="3">
        <v>0</v>
      </c>
      <c r="CN46" s="3">
        <v>0</v>
      </c>
      <c r="CO46" s="3">
        <v>0</v>
      </c>
      <c r="CP46" s="3">
        <v>0</v>
      </c>
      <c r="CQ46" s="3">
        <v>1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4">
        <v>0</v>
      </c>
      <c r="DD46" s="19" t="s">
        <v>116</v>
      </c>
    </row>
    <row r="47" spans="1:108" x14ac:dyDescent="0.3">
      <c r="A47" s="2" t="s">
        <v>117</v>
      </c>
      <c r="B47" s="3">
        <v>0</v>
      </c>
      <c r="C47" s="3">
        <v>1</v>
      </c>
      <c r="D47" s="3">
        <v>0</v>
      </c>
      <c r="E47" s="3">
        <v>0</v>
      </c>
      <c r="F47" s="3">
        <v>0</v>
      </c>
      <c r="G47" s="4">
        <v>0</v>
      </c>
      <c r="H47" s="2">
        <v>20</v>
      </c>
      <c r="I47" s="3">
        <v>200</v>
      </c>
      <c r="J47" s="3">
        <v>50</v>
      </c>
      <c r="K47" s="3">
        <v>200</v>
      </c>
      <c r="L47" s="4">
        <v>0</v>
      </c>
      <c r="M47" s="19" t="s">
        <v>56</v>
      </c>
      <c r="N47" s="19">
        <v>3.83</v>
      </c>
      <c r="O47" s="19">
        <v>6.15</v>
      </c>
      <c r="P47" s="19">
        <v>392</v>
      </c>
      <c r="Q47" s="19">
        <v>324</v>
      </c>
      <c r="R47" s="19">
        <f t="shared" si="0"/>
        <v>68</v>
      </c>
      <c r="S47" s="19" t="s">
        <v>1</v>
      </c>
      <c r="T47" s="2">
        <v>0.6835</v>
      </c>
      <c r="U47" s="3">
        <v>0.21929999999999999</v>
      </c>
      <c r="V47" s="3">
        <v>9.7200000000000009E-2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4">
        <v>0</v>
      </c>
      <c r="AM47" s="2">
        <v>1</v>
      </c>
      <c r="AN47" s="3">
        <v>0</v>
      </c>
      <c r="AO47" s="3">
        <v>1</v>
      </c>
      <c r="AP47" s="3">
        <v>1</v>
      </c>
      <c r="AQ47" s="3">
        <v>0</v>
      </c>
      <c r="AR47" s="3">
        <v>1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1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1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4">
        <v>0</v>
      </c>
      <c r="BZ47" s="2">
        <v>0</v>
      </c>
      <c r="CA47" s="3">
        <v>1</v>
      </c>
      <c r="CB47" s="3">
        <v>1</v>
      </c>
      <c r="CC47" s="3">
        <v>0</v>
      </c>
      <c r="CD47" s="3">
        <v>1</v>
      </c>
      <c r="CE47" s="3">
        <v>1</v>
      </c>
      <c r="CF47" s="3">
        <v>1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1</v>
      </c>
      <c r="CM47" s="3">
        <v>1</v>
      </c>
      <c r="CN47" s="3">
        <v>1</v>
      </c>
      <c r="CO47" s="3">
        <v>0</v>
      </c>
      <c r="CP47" s="3">
        <v>0</v>
      </c>
      <c r="CQ47" s="3">
        <v>1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4">
        <v>0</v>
      </c>
      <c r="DD47" s="19" t="s">
        <v>118</v>
      </c>
    </row>
    <row r="48" spans="1:108" x14ac:dyDescent="0.3">
      <c r="A48" s="2" t="s">
        <v>119</v>
      </c>
      <c r="B48" s="6">
        <v>0</v>
      </c>
      <c r="C48" s="6">
        <v>0</v>
      </c>
      <c r="D48" s="6">
        <v>1</v>
      </c>
      <c r="E48" s="6">
        <v>0</v>
      </c>
      <c r="F48" s="6">
        <v>0</v>
      </c>
      <c r="G48" s="7">
        <v>0</v>
      </c>
      <c r="H48" s="2">
        <v>14</v>
      </c>
      <c r="I48" s="3">
        <v>200</v>
      </c>
      <c r="J48" s="3">
        <v>0.5</v>
      </c>
      <c r="K48" s="3">
        <v>200</v>
      </c>
      <c r="L48" s="4">
        <v>0</v>
      </c>
      <c r="M48" s="19">
        <v>50</v>
      </c>
      <c r="N48" s="19">
        <v>6</v>
      </c>
      <c r="O48" s="19">
        <v>23.6</v>
      </c>
      <c r="P48" s="19">
        <v>485</v>
      </c>
      <c r="Q48" s="19">
        <v>400</v>
      </c>
      <c r="R48" s="19">
        <f t="shared" si="0"/>
        <v>85</v>
      </c>
      <c r="S48" s="19" t="s">
        <v>1</v>
      </c>
      <c r="T48" s="2">
        <v>0.68500000000000005</v>
      </c>
      <c r="U48" s="3">
        <v>0.245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7.0000000000000007E-2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4">
        <v>0</v>
      </c>
      <c r="BZ48" s="2">
        <v>1</v>
      </c>
      <c r="CA48" s="3">
        <v>0</v>
      </c>
      <c r="CB48" s="3">
        <v>1</v>
      </c>
      <c r="CC48" s="3">
        <v>1</v>
      </c>
      <c r="CD48" s="3">
        <v>1</v>
      </c>
      <c r="CE48" s="3">
        <v>1</v>
      </c>
      <c r="CF48" s="3">
        <v>1</v>
      </c>
      <c r="CG48" s="3">
        <v>0</v>
      </c>
      <c r="CH48" s="3">
        <v>0</v>
      </c>
      <c r="CI48" s="3">
        <v>1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4">
        <v>0</v>
      </c>
      <c r="DD48" s="19" t="s">
        <v>120</v>
      </c>
    </row>
    <row r="49" spans="1:108" x14ac:dyDescent="0.3">
      <c r="A49" s="2" t="s">
        <v>121</v>
      </c>
      <c r="B49" s="6">
        <v>0</v>
      </c>
      <c r="C49" s="6">
        <v>0</v>
      </c>
      <c r="D49" s="6">
        <v>0</v>
      </c>
      <c r="E49" s="6">
        <v>0</v>
      </c>
      <c r="F49" s="3">
        <v>1</v>
      </c>
      <c r="G49" s="7">
        <v>0</v>
      </c>
      <c r="H49" s="2">
        <v>24</v>
      </c>
      <c r="I49" s="3">
        <v>200</v>
      </c>
      <c r="J49" s="3" t="s">
        <v>56</v>
      </c>
      <c r="K49" s="3" t="s">
        <v>56</v>
      </c>
      <c r="M49" s="19" t="s">
        <v>56</v>
      </c>
      <c r="N49" s="19">
        <v>5</v>
      </c>
      <c r="O49" s="19">
        <v>20</v>
      </c>
      <c r="P49" s="19">
        <v>429</v>
      </c>
      <c r="Q49" s="19">
        <v>355</v>
      </c>
      <c r="R49" s="19">
        <f t="shared" si="0"/>
        <v>74</v>
      </c>
      <c r="S49" s="19" t="s">
        <v>1</v>
      </c>
      <c r="T49" s="2">
        <v>0.83</v>
      </c>
      <c r="U49" s="3">
        <v>0.14000000000000001</v>
      </c>
      <c r="V49" s="3">
        <v>0.03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4">
        <v>0</v>
      </c>
      <c r="AM49" s="2">
        <v>1</v>
      </c>
      <c r="AN49" s="3">
        <v>0</v>
      </c>
      <c r="AO49" s="3">
        <v>1</v>
      </c>
      <c r="AP49" s="3">
        <v>1</v>
      </c>
      <c r="AQ49" s="3">
        <v>1</v>
      </c>
      <c r="AR49" s="3">
        <v>1</v>
      </c>
      <c r="AS49" s="3">
        <v>0</v>
      </c>
      <c r="AT49" s="3">
        <v>1</v>
      </c>
      <c r="AU49" s="3">
        <v>0</v>
      </c>
      <c r="AV49" s="3">
        <v>1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1</v>
      </c>
      <c r="BG49" s="3">
        <v>0</v>
      </c>
      <c r="BH49" s="3">
        <v>0</v>
      </c>
      <c r="BI49" s="3">
        <v>1</v>
      </c>
      <c r="BJ49" s="3">
        <v>0</v>
      </c>
      <c r="BK49" s="3">
        <v>1</v>
      </c>
      <c r="BL49" s="3">
        <v>0</v>
      </c>
      <c r="BM49" s="3">
        <v>0</v>
      </c>
      <c r="BN49" s="3">
        <v>0</v>
      </c>
      <c r="BO49" s="3">
        <v>1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4">
        <v>0</v>
      </c>
      <c r="BZ49" s="2">
        <v>0</v>
      </c>
      <c r="CA49" s="3">
        <v>0</v>
      </c>
      <c r="CB49" s="3">
        <v>0</v>
      </c>
      <c r="CC49" s="3">
        <v>0</v>
      </c>
      <c r="CD49" s="3">
        <v>1</v>
      </c>
      <c r="CE49" s="3">
        <v>1</v>
      </c>
      <c r="CF49" s="3">
        <v>1</v>
      </c>
      <c r="CG49" s="3">
        <v>0</v>
      </c>
      <c r="CH49" s="3">
        <v>0</v>
      </c>
      <c r="CI49" s="3">
        <v>1</v>
      </c>
      <c r="CJ49" s="3">
        <v>0</v>
      </c>
      <c r="CK49" s="3">
        <v>0</v>
      </c>
      <c r="CL49" s="3">
        <v>1</v>
      </c>
      <c r="CM49" s="3">
        <v>1</v>
      </c>
      <c r="CN49" s="3">
        <v>0</v>
      </c>
      <c r="CO49" s="3">
        <v>0</v>
      </c>
      <c r="CP49" s="3">
        <v>0</v>
      </c>
      <c r="CQ49" s="3">
        <v>1</v>
      </c>
      <c r="CR49" s="3">
        <v>0</v>
      </c>
      <c r="CS49" s="3">
        <v>1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4">
        <v>0</v>
      </c>
      <c r="DD49" s="20" t="s">
        <v>122</v>
      </c>
    </row>
    <row r="50" spans="1:108" x14ac:dyDescent="0.3">
      <c r="A50" s="2" t="s">
        <v>123</v>
      </c>
      <c r="B50" s="6">
        <v>0</v>
      </c>
      <c r="C50" s="6">
        <v>0</v>
      </c>
      <c r="D50" s="6">
        <v>0</v>
      </c>
      <c r="E50" s="6">
        <v>0</v>
      </c>
      <c r="F50" s="3">
        <v>0</v>
      </c>
      <c r="G50" s="7">
        <v>0</v>
      </c>
      <c r="H50" s="2">
        <v>8</v>
      </c>
      <c r="I50" s="3">
        <v>200</v>
      </c>
      <c r="J50" s="3">
        <v>0.5</v>
      </c>
      <c r="K50" s="3">
        <v>50</v>
      </c>
      <c r="L50" s="4">
        <v>0</v>
      </c>
      <c r="O50" s="19">
        <v>4.29</v>
      </c>
      <c r="P50" s="19">
        <v>450</v>
      </c>
      <c r="Q50" s="19">
        <v>360</v>
      </c>
      <c r="R50" s="19">
        <f t="shared" si="0"/>
        <v>90</v>
      </c>
      <c r="S50" s="19" t="s">
        <v>1</v>
      </c>
      <c r="DD50" s="19" t="s">
        <v>124</v>
      </c>
    </row>
    <row r="51" spans="1:108" x14ac:dyDescent="0.3">
      <c r="A51" s="2" t="s">
        <v>74</v>
      </c>
      <c r="B51" s="6">
        <v>0</v>
      </c>
      <c r="C51" s="6">
        <v>0</v>
      </c>
      <c r="D51" s="6">
        <v>1</v>
      </c>
      <c r="E51" s="6">
        <v>0</v>
      </c>
      <c r="F51" s="6">
        <v>0</v>
      </c>
      <c r="G51" s="7">
        <v>0</v>
      </c>
      <c r="H51" s="2">
        <v>8</v>
      </c>
      <c r="I51" s="3">
        <v>200</v>
      </c>
      <c r="J51" s="3">
        <v>0.5</v>
      </c>
      <c r="K51" s="3">
        <v>50</v>
      </c>
      <c r="L51" s="4">
        <v>0</v>
      </c>
      <c r="O51" s="19">
        <v>7.72</v>
      </c>
      <c r="P51" s="19">
        <v>435</v>
      </c>
      <c r="Q51" s="19">
        <v>350</v>
      </c>
      <c r="R51" s="19">
        <f t="shared" si="0"/>
        <v>85</v>
      </c>
      <c r="S51" s="19" t="s">
        <v>1</v>
      </c>
      <c r="DD51" s="19" t="s">
        <v>124</v>
      </c>
    </row>
    <row r="52" spans="1:108" x14ac:dyDescent="0.3">
      <c r="A52" s="2" t="s">
        <v>125</v>
      </c>
      <c r="B52" s="6">
        <v>0</v>
      </c>
      <c r="C52" s="6">
        <v>0</v>
      </c>
      <c r="D52" s="6">
        <v>1</v>
      </c>
      <c r="E52" s="6">
        <v>0</v>
      </c>
      <c r="F52" s="6">
        <v>0</v>
      </c>
      <c r="G52" s="7">
        <v>0</v>
      </c>
      <c r="H52" s="2">
        <v>8</v>
      </c>
      <c r="I52" s="3">
        <v>200</v>
      </c>
      <c r="J52" s="3">
        <v>0.5</v>
      </c>
      <c r="K52" s="3">
        <v>50</v>
      </c>
      <c r="L52" s="4">
        <v>0</v>
      </c>
      <c r="O52" s="19">
        <v>4.74</v>
      </c>
      <c r="P52" s="19">
        <v>430</v>
      </c>
      <c r="Q52" s="19">
        <v>340</v>
      </c>
      <c r="R52" s="19">
        <f t="shared" si="0"/>
        <v>90</v>
      </c>
      <c r="S52" s="19" t="s">
        <v>1</v>
      </c>
      <c r="DD52" s="19" t="s">
        <v>124</v>
      </c>
    </row>
    <row r="53" spans="1:108" x14ac:dyDescent="0.3">
      <c r="A53" s="2" t="s">
        <v>126</v>
      </c>
      <c r="B53" s="6">
        <v>0</v>
      </c>
      <c r="C53" s="6">
        <v>0</v>
      </c>
      <c r="D53" s="6">
        <v>1</v>
      </c>
      <c r="E53" s="6">
        <v>0</v>
      </c>
      <c r="F53" s="6">
        <v>0</v>
      </c>
      <c r="G53" s="7">
        <v>0</v>
      </c>
      <c r="H53" s="2">
        <v>8</v>
      </c>
      <c r="I53" s="3">
        <v>200</v>
      </c>
      <c r="J53" s="3">
        <v>0.5</v>
      </c>
      <c r="K53" s="3">
        <v>50</v>
      </c>
      <c r="L53" s="4">
        <v>0</v>
      </c>
      <c r="M53" s="19" t="s">
        <v>56</v>
      </c>
      <c r="N53" s="19">
        <v>2.6</v>
      </c>
      <c r="O53" s="19">
        <v>8.1300000000000008</v>
      </c>
      <c r="P53" s="19">
        <v>435</v>
      </c>
      <c r="Q53" s="19">
        <v>350</v>
      </c>
      <c r="R53" s="19">
        <f t="shared" si="0"/>
        <v>85</v>
      </c>
      <c r="S53" s="19" t="s">
        <v>1</v>
      </c>
      <c r="AM53" s="2">
        <v>1</v>
      </c>
      <c r="AN53" s="3">
        <v>0</v>
      </c>
      <c r="AO53" s="3">
        <v>1</v>
      </c>
      <c r="AP53" s="3">
        <v>1</v>
      </c>
      <c r="AQ53" s="3">
        <v>1</v>
      </c>
      <c r="AR53" s="3">
        <v>1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1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1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4">
        <v>0</v>
      </c>
      <c r="BZ53" s="2">
        <v>0</v>
      </c>
      <c r="CA53" s="3">
        <v>0</v>
      </c>
      <c r="CB53" s="3">
        <v>1</v>
      </c>
      <c r="CC53" s="3">
        <v>0</v>
      </c>
      <c r="CD53" s="3">
        <v>1</v>
      </c>
      <c r="CE53" s="3">
        <v>1</v>
      </c>
      <c r="CF53" s="3">
        <v>1</v>
      </c>
      <c r="CG53" s="3">
        <v>0</v>
      </c>
      <c r="CH53" s="3">
        <v>0</v>
      </c>
      <c r="CI53" s="3">
        <v>1</v>
      </c>
      <c r="CJ53" s="3">
        <v>1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1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4">
        <v>0</v>
      </c>
      <c r="DD53" s="19" t="s">
        <v>124</v>
      </c>
    </row>
    <row r="54" spans="1:108" x14ac:dyDescent="0.3">
      <c r="A54" s="2" t="s">
        <v>127</v>
      </c>
      <c r="B54" s="6">
        <v>0</v>
      </c>
      <c r="C54" s="6">
        <v>0</v>
      </c>
      <c r="D54" s="6">
        <v>1</v>
      </c>
      <c r="E54" s="6">
        <v>0</v>
      </c>
      <c r="F54" s="6">
        <v>0</v>
      </c>
      <c r="G54" s="7">
        <v>0</v>
      </c>
      <c r="H54" s="2">
        <v>4</v>
      </c>
      <c r="I54" s="3">
        <v>200</v>
      </c>
      <c r="J54" s="3">
        <v>1</v>
      </c>
      <c r="K54" s="3">
        <v>20</v>
      </c>
      <c r="L54" s="4">
        <v>1</v>
      </c>
      <c r="M54" s="19" t="s">
        <v>56</v>
      </c>
      <c r="N54" s="19">
        <v>4.46</v>
      </c>
      <c r="O54" s="19">
        <v>6.5</v>
      </c>
      <c r="P54" s="19">
        <v>520</v>
      </c>
      <c r="Q54" s="19">
        <v>450</v>
      </c>
      <c r="R54" s="19">
        <f t="shared" si="0"/>
        <v>70</v>
      </c>
      <c r="S54" s="19" t="s">
        <v>2</v>
      </c>
      <c r="AM54" s="2">
        <v>1</v>
      </c>
      <c r="AN54" s="3">
        <v>0</v>
      </c>
      <c r="AO54" s="3">
        <v>0</v>
      </c>
      <c r="AP54" s="3">
        <v>0</v>
      </c>
      <c r="AQ54" s="3">
        <v>0</v>
      </c>
      <c r="AR54" s="3">
        <v>1</v>
      </c>
      <c r="AS54" s="3">
        <v>0</v>
      </c>
      <c r="AT54" s="3">
        <v>1</v>
      </c>
      <c r="AU54" s="3">
        <v>0</v>
      </c>
      <c r="AV54" s="3">
        <v>1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1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4">
        <v>0</v>
      </c>
      <c r="BZ54" s="2">
        <v>0</v>
      </c>
      <c r="CA54" s="3">
        <v>0</v>
      </c>
      <c r="CB54" s="3">
        <v>0</v>
      </c>
      <c r="CC54" s="3">
        <v>1</v>
      </c>
      <c r="CD54" s="3">
        <v>1</v>
      </c>
      <c r="CE54" s="3">
        <v>0</v>
      </c>
      <c r="CF54" s="3">
        <v>1</v>
      </c>
      <c r="CG54" s="3">
        <v>0</v>
      </c>
      <c r="CH54" s="3">
        <v>0</v>
      </c>
      <c r="CI54" s="3">
        <v>1</v>
      </c>
      <c r="CJ54" s="3">
        <v>0</v>
      </c>
      <c r="CK54" s="3">
        <v>0</v>
      </c>
      <c r="CL54" s="3">
        <v>1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4">
        <v>0</v>
      </c>
      <c r="DD54" s="20" t="s">
        <v>128</v>
      </c>
    </row>
    <row r="55" spans="1:108" x14ac:dyDescent="0.3">
      <c r="A55" s="2" t="s">
        <v>127</v>
      </c>
      <c r="B55" s="6">
        <v>0</v>
      </c>
      <c r="C55" s="6">
        <v>0</v>
      </c>
      <c r="D55" s="6">
        <v>1</v>
      </c>
      <c r="E55" s="6">
        <v>0</v>
      </c>
      <c r="F55" s="6">
        <v>0</v>
      </c>
      <c r="G55" s="7">
        <v>0</v>
      </c>
      <c r="H55" s="2">
        <v>4</v>
      </c>
      <c r="I55" s="3">
        <v>200</v>
      </c>
      <c r="J55" s="3">
        <v>1</v>
      </c>
      <c r="K55" s="3">
        <v>20</v>
      </c>
      <c r="L55" s="4">
        <v>0</v>
      </c>
      <c r="M55" s="19" t="s">
        <v>56</v>
      </c>
      <c r="N55" s="19">
        <v>2.76</v>
      </c>
      <c r="O55" s="19">
        <v>12.4</v>
      </c>
      <c r="P55" s="19">
        <v>425</v>
      </c>
      <c r="Q55" s="19">
        <v>340</v>
      </c>
      <c r="R55" s="19">
        <f t="shared" si="0"/>
        <v>85</v>
      </c>
      <c r="S55" s="19" t="s">
        <v>1</v>
      </c>
      <c r="AM55" s="2">
        <v>1</v>
      </c>
      <c r="AN55" s="3">
        <v>0</v>
      </c>
      <c r="AO55" s="3">
        <v>0</v>
      </c>
      <c r="AP55" s="3">
        <v>0</v>
      </c>
      <c r="AQ55" s="3">
        <v>1</v>
      </c>
      <c r="AR55" s="3">
        <v>1</v>
      </c>
      <c r="AS55" s="3">
        <v>0</v>
      </c>
      <c r="AT55" s="3">
        <v>1</v>
      </c>
      <c r="AU55" s="3">
        <v>0</v>
      </c>
      <c r="AV55" s="3">
        <v>1</v>
      </c>
      <c r="AW55" s="3">
        <v>0</v>
      </c>
      <c r="AX55" s="3">
        <v>0</v>
      </c>
      <c r="AY55" s="3">
        <v>1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1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4">
        <v>0</v>
      </c>
      <c r="BZ55" s="2">
        <v>0</v>
      </c>
      <c r="CA55" s="3">
        <v>0</v>
      </c>
      <c r="CB55" s="3">
        <v>0</v>
      </c>
      <c r="CC55" s="3">
        <v>1</v>
      </c>
      <c r="CD55" s="3">
        <v>1</v>
      </c>
      <c r="CE55" s="3">
        <v>1</v>
      </c>
      <c r="CF55" s="3">
        <v>1</v>
      </c>
      <c r="CG55" s="3">
        <v>0</v>
      </c>
      <c r="CH55" s="3">
        <v>0</v>
      </c>
      <c r="CI55" s="3">
        <v>1</v>
      </c>
      <c r="CJ55" s="3">
        <v>0</v>
      </c>
      <c r="CK55" s="3">
        <v>0</v>
      </c>
      <c r="CL55" s="3">
        <v>1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4">
        <v>0</v>
      </c>
      <c r="DD55" s="19" t="s">
        <v>128</v>
      </c>
    </row>
    <row r="56" spans="1:108" x14ac:dyDescent="0.3">
      <c r="A56" s="2" t="s">
        <v>129</v>
      </c>
      <c r="B56" s="6">
        <v>0</v>
      </c>
      <c r="C56" s="6">
        <v>0</v>
      </c>
      <c r="D56" s="6">
        <v>0</v>
      </c>
      <c r="E56" s="6">
        <v>0</v>
      </c>
      <c r="F56" s="3">
        <v>1</v>
      </c>
      <c r="G56" s="7">
        <v>0</v>
      </c>
      <c r="H56" s="2">
        <v>12</v>
      </c>
      <c r="I56" s="3">
        <v>200</v>
      </c>
      <c r="J56" s="3">
        <v>4</v>
      </c>
      <c r="K56" s="3">
        <v>1</v>
      </c>
      <c r="L56" s="4">
        <v>0</v>
      </c>
      <c r="M56" s="19" t="s">
        <v>56</v>
      </c>
      <c r="N56" s="19">
        <v>2.7</v>
      </c>
      <c r="O56" s="19">
        <v>23.48</v>
      </c>
      <c r="P56" s="19">
        <v>500</v>
      </c>
      <c r="Q56" s="19">
        <v>440</v>
      </c>
      <c r="R56" s="19">
        <f t="shared" si="0"/>
        <v>60</v>
      </c>
      <c r="S56" s="19" t="s">
        <v>1</v>
      </c>
      <c r="AM56" s="2">
        <v>1</v>
      </c>
      <c r="AN56" s="3">
        <v>0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  <c r="AU56" s="3">
        <v>0</v>
      </c>
      <c r="AV56" s="3">
        <v>1</v>
      </c>
      <c r="AW56" s="3">
        <v>0</v>
      </c>
      <c r="AX56" s="3">
        <v>0</v>
      </c>
      <c r="AY56" s="3">
        <v>1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1</v>
      </c>
      <c r="BL56" s="3">
        <v>0</v>
      </c>
      <c r="BM56" s="3">
        <v>0</v>
      </c>
      <c r="BN56" s="3">
        <v>0</v>
      </c>
      <c r="BO56" s="3">
        <v>1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4">
        <v>0</v>
      </c>
      <c r="BZ56" s="2">
        <v>0</v>
      </c>
      <c r="CA56" s="3">
        <v>0</v>
      </c>
      <c r="CB56" s="3">
        <v>1</v>
      </c>
      <c r="CC56" s="3">
        <v>1</v>
      </c>
      <c r="CD56" s="3">
        <v>1</v>
      </c>
      <c r="CE56" s="3">
        <v>1</v>
      </c>
      <c r="CF56" s="3">
        <v>1</v>
      </c>
      <c r="CG56" s="3">
        <v>0</v>
      </c>
      <c r="CH56" s="3">
        <v>0</v>
      </c>
      <c r="CI56" s="3">
        <v>1</v>
      </c>
      <c r="CJ56" s="3">
        <v>0</v>
      </c>
      <c r="CK56" s="3">
        <v>0</v>
      </c>
      <c r="CL56" s="3">
        <v>0</v>
      </c>
      <c r="CM56" s="3">
        <v>0</v>
      </c>
      <c r="CN56" s="3">
        <v>1</v>
      </c>
      <c r="CO56" s="3">
        <v>0</v>
      </c>
      <c r="CP56" s="3">
        <v>0</v>
      </c>
      <c r="CQ56" s="3">
        <v>1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4">
        <v>0</v>
      </c>
      <c r="DD56" s="20" t="s">
        <v>130</v>
      </c>
    </row>
    <row r="57" spans="1:108" x14ac:dyDescent="0.3">
      <c r="A57" s="2" t="s">
        <v>131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4">
        <v>0</v>
      </c>
      <c r="H57" s="2">
        <v>5</v>
      </c>
      <c r="I57" s="3">
        <v>180</v>
      </c>
      <c r="J57" s="3">
        <v>25</v>
      </c>
      <c r="K57" s="3">
        <v>0</v>
      </c>
      <c r="L57" s="4">
        <v>0</v>
      </c>
      <c r="M57" s="19" t="s">
        <v>56</v>
      </c>
      <c r="N57" s="19">
        <v>8</v>
      </c>
      <c r="O57" s="19">
        <v>35</v>
      </c>
      <c r="P57" s="19">
        <v>400</v>
      </c>
      <c r="Q57" s="19">
        <v>310</v>
      </c>
      <c r="R57" s="19">
        <f t="shared" si="0"/>
        <v>90</v>
      </c>
      <c r="S57" s="19" t="s">
        <v>1</v>
      </c>
      <c r="T57" s="2">
        <v>0.76590000000000003</v>
      </c>
      <c r="U57" s="3">
        <v>0.1464</v>
      </c>
      <c r="V57" s="3">
        <v>8.77E-2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4">
        <v>0</v>
      </c>
      <c r="AM57" s="2">
        <v>0</v>
      </c>
      <c r="AN57" s="3">
        <v>0</v>
      </c>
      <c r="AO57" s="3">
        <v>1</v>
      </c>
      <c r="AP57" s="3">
        <v>1</v>
      </c>
      <c r="AQ57" s="3">
        <v>1</v>
      </c>
      <c r="AR57" s="3">
        <v>1</v>
      </c>
      <c r="AS57" s="3">
        <v>0</v>
      </c>
      <c r="AT57" s="3">
        <v>1</v>
      </c>
      <c r="AU57" s="3">
        <v>0</v>
      </c>
      <c r="AV57" s="3">
        <v>1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1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4">
        <v>0</v>
      </c>
      <c r="BZ57" s="2">
        <v>0</v>
      </c>
      <c r="CA57" s="3">
        <v>0</v>
      </c>
      <c r="CB57" s="3">
        <v>1</v>
      </c>
      <c r="CC57" s="3">
        <v>1</v>
      </c>
      <c r="CD57" s="3">
        <v>1</v>
      </c>
      <c r="CE57" s="3">
        <v>1</v>
      </c>
      <c r="CF57" s="3">
        <v>1</v>
      </c>
      <c r="CG57" s="3">
        <v>0</v>
      </c>
      <c r="CH57" s="3">
        <v>0</v>
      </c>
      <c r="CI57" s="3">
        <v>1</v>
      </c>
      <c r="CJ57" s="3">
        <v>0</v>
      </c>
      <c r="CK57" s="3">
        <v>0</v>
      </c>
      <c r="CL57" s="3">
        <v>1</v>
      </c>
      <c r="CM57" s="3">
        <v>0</v>
      </c>
      <c r="CN57" s="3">
        <v>0</v>
      </c>
      <c r="CO57" s="3">
        <v>0</v>
      </c>
      <c r="CP57" s="3">
        <v>0</v>
      </c>
      <c r="CQ57" s="3">
        <v>1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4">
        <v>0</v>
      </c>
      <c r="DD57" s="19" t="s">
        <v>132</v>
      </c>
    </row>
    <row r="58" spans="1:108" x14ac:dyDescent="0.3">
      <c r="A58" s="2" t="s">
        <v>133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  <c r="G58" s="4">
        <v>0</v>
      </c>
      <c r="H58" s="2">
        <v>12</v>
      </c>
      <c r="I58" s="3">
        <v>200</v>
      </c>
      <c r="J58" s="3">
        <v>70</v>
      </c>
      <c r="K58" s="3">
        <v>0</v>
      </c>
      <c r="L58" s="4">
        <v>0</v>
      </c>
      <c r="M58" s="19" t="s">
        <v>56</v>
      </c>
      <c r="N58" s="19">
        <v>4</v>
      </c>
      <c r="O58" s="19">
        <v>19</v>
      </c>
      <c r="P58" s="19">
        <v>406</v>
      </c>
      <c r="Q58" s="19">
        <v>335</v>
      </c>
      <c r="R58" s="19">
        <f t="shared" si="0"/>
        <v>71</v>
      </c>
      <c r="S58" s="19" t="s">
        <v>1</v>
      </c>
      <c r="T58" s="2">
        <v>0.7</v>
      </c>
      <c r="U58" s="3">
        <v>0.21</v>
      </c>
      <c r="V58" s="3">
        <v>0.09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4">
        <v>0</v>
      </c>
      <c r="AM58" s="2">
        <v>1</v>
      </c>
      <c r="AN58" s="3">
        <v>0</v>
      </c>
      <c r="AO58" s="3">
        <v>1</v>
      </c>
      <c r="AP58" s="3">
        <v>0</v>
      </c>
      <c r="AQ58" s="3">
        <v>0</v>
      </c>
      <c r="AR58" s="3">
        <v>1</v>
      </c>
      <c r="AS58" s="3">
        <v>0</v>
      </c>
      <c r="AT58" s="3">
        <v>1</v>
      </c>
      <c r="AU58" s="3">
        <v>0</v>
      </c>
      <c r="AV58" s="3">
        <v>1</v>
      </c>
      <c r="AW58" s="3">
        <v>0</v>
      </c>
      <c r="AX58" s="3">
        <v>0</v>
      </c>
      <c r="AY58" s="3">
        <v>1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1</v>
      </c>
      <c r="BG58" s="3">
        <v>0</v>
      </c>
      <c r="BH58" s="3">
        <v>0</v>
      </c>
      <c r="BI58" s="3">
        <v>1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1</v>
      </c>
      <c r="BP58" s="3">
        <v>1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4">
        <v>0</v>
      </c>
      <c r="BZ58" s="2">
        <v>0</v>
      </c>
      <c r="CA58" s="3">
        <v>0</v>
      </c>
      <c r="CB58" s="3">
        <v>1</v>
      </c>
      <c r="CC58" s="3">
        <v>0</v>
      </c>
      <c r="CD58" s="3">
        <v>1</v>
      </c>
      <c r="CE58" s="3">
        <v>1</v>
      </c>
      <c r="CF58" s="3">
        <v>1</v>
      </c>
      <c r="CG58" s="3">
        <v>0</v>
      </c>
      <c r="CH58" s="3">
        <v>0</v>
      </c>
      <c r="CI58" s="3">
        <v>1</v>
      </c>
      <c r="CJ58" s="3">
        <v>0</v>
      </c>
      <c r="CK58" s="3">
        <v>0</v>
      </c>
      <c r="CL58" s="3">
        <v>1</v>
      </c>
      <c r="CM58" s="3">
        <v>1</v>
      </c>
      <c r="CN58" s="3">
        <v>0</v>
      </c>
      <c r="CO58" s="3">
        <v>1</v>
      </c>
      <c r="CP58" s="3">
        <v>0</v>
      </c>
      <c r="CQ58" s="3">
        <v>1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4">
        <v>0</v>
      </c>
      <c r="DD58" s="19" t="s">
        <v>134</v>
      </c>
    </row>
    <row r="59" spans="1:108" x14ac:dyDescent="0.3">
      <c r="A59" s="2" t="s">
        <v>135</v>
      </c>
      <c r="B59" s="6">
        <v>0</v>
      </c>
      <c r="C59" s="6">
        <v>0</v>
      </c>
      <c r="D59" s="6">
        <v>1</v>
      </c>
      <c r="E59" s="6">
        <v>0</v>
      </c>
      <c r="F59" s="6">
        <v>0</v>
      </c>
      <c r="G59" s="7">
        <v>0</v>
      </c>
      <c r="H59" s="2">
        <v>5</v>
      </c>
      <c r="I59" s="3">
        <v>200</v>
      </c>
      <c r="J59" s="3">
        <v>0.2</v>
      </c>
      <c r="K59" s="3">
        <v>50</v>
      </c>
      <c r="L59" s="4">
        <v>0</v>
      </c>
      <c r="M59" s="19" t="s">
        <v>56</v>
      </c>
      <c r="N59" s="19">
        <v>3.2</v>
      </c>
      <c r="O59" s="19">
        <v>5.93</v>
      </c>
      <c r="P59" s="19">
        <v>412</v>
      </c>
      <c r="Q59" s="19">
        <v>322</v>
      </c>
      <c r="R59" s="19">
        <f t="shared" si="0"/>
        <v>90</v>
      </c>
      <c r="S59" s="19" t="s">
        <v>1</v>
      </c>
      <c r="T59" s="2">
        <v>0.66400000000000003</v>
      </c>
      <c r="U59" s="3">
        <v>0.26500000000000001</v>
      </c>
      <c r="V59" s="3">
        <v>0.05</v>
      </c>
      <c r="W59" s="3">
        <v>0</v>
      </c>
      <c r="X59" s="3">
        <v>0</v>
      </c>
      <c r="Y59" s="3">
        <v>1.2E-2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4">
        <v>0</v>
      </c>
      <c r="AM59" s="2">
        <v>1</v>
      </c>
      <c r="AN59" s="3">
        <v>0</v>
      </c>
      <c r="AO59" s="3">
        <v>1</v>
      </c>
      <c r="AP59" s="3">
        <v>1</v>
      </c>
      <c r="AQ59" s="3">
        <v>0</v>
      </c>
      <c r="AR59" s="3">
        <v>1</v>
      </c>
      <c r="AS59" s="3">
        <v>0</v>
      </c>
      <c r="AT59" s="3">
        <v>0</v>
      </c>
      <c r="AU59" s="3">
        <v>0</v>
      </c>
      <c r="AV59" s="3">
        <v>1</v>
      </c>
      <c r="AW59" s="3">
        <v>0</v>
      </c>
      <c r="AX59" s="3">
        <v>0</v>
      </c>
      <c r="AY59" s="3">
        <v>1</v>
      </c>
      <c r="AZ59" s="3">
        <v>1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1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1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4">
        <v>0</v>
      </c>
      <c r="BZ59" s="2">
        <v>0</v>
      </c>
      <c r="CA59" s="3">
        <v>0</v>
      </c>
      <c r="CB59" s="3">
        <v>1</v>
      </c>
      <c r="CC59" s="3">
        <v>0</v>
      </c>
      <c r="CD59" s="3">
        <v>0</v>
      </c>
      <c r="CE59" s="3">
        <v>0</v>
      </c>
      <c r="CF59" s="3">
        <v>1</v>
      </c>
      <c r="CG59" s="3">
        <v>0</v>
      </c>
      <c r="CH59" s="3">
        <v>0</v>
      </c>
      <c r="CI59" s="3">
        <v>1</v>
      </c>
      <c r="CJ59" s="3">
        <v>1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4">
        <v>0</v>
      </c>
      <c r="DD59" s="19" t="s">
        <v>136</v>
      </c>
    </row>
    <row r="60" spans="1:108" x14ac:dyDescent="0.3">
      <c r="A60" s="2" t="s">
        <v>137</v>
      </c>
      <c r="B60" s="6">
        <v>0</v>
      </c>
      <c r="C60" s="6">
        <v>0</v>
      </c>
      <c r="D60" s="6">
        <v>1</v>
      </c>
      <c r="E60" s="6">
        <v>0</v>
      </c>
      <c r="F60" s="6">
        <v>0</v>
      </c>
      <c r="G60" s="7">
        <v>0</v>
      </c>
      <c r="H60" s="2">
        <v>4</v>
      </c>
      <c r="I60" s="3">
        <v>240</v>
      </c>
      <c r="J60" s="3">
        <v>5</v>
      </c>
      <c r="K60" s="3">
        <v>40</v>
      </c>
      <c r="L60" s="4">
        <v>0</v>
      </c>
      <c r="M60" s="19" t="s">
        <v>56</v>
      </c>
      <c r="N60" s="19">
        <v>2.39</v>
      </c>
      <c r="O60" s="19">
        <v>6.48</v>
      </c>
      <c r="P60" s="19">
        <v>400</v>
      </c>
      <c r="Q60" s="19">
        <v>320</v>
      </c>
      <c r="R60" s="19">
        <f t="shared" si="0"/>
        <v>80</v>
      </c>
      <c r="S60" s="19" t="s">
        <v>1</v>
      </c>
      <c r="T60" s="2">
        <v>0.50800000000000001</v>
      </c>
      <c r="U60" s="3">
        <v>0.39829999999999999</v>
      </c>
      <c r="V60" s="3">
        <v>4.07E-2</v>
      </c>
      <c r="W60" s="3">
        <v>0</v>
      </c>
      <c r="X60" s="3">
        <v>0</v>
      </c>
      <c r="Y60" s="3">
        <v>0</v>
      </c>
      <c r="Z60" s="3">
        <v>5.2999999999999999E-2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4">
        <v>0</v>
      </c>
      <c r="BZ60" s="2">
        <v>0</v>
      </c>
      <c r="CA60" s="3">
        <v>0</v>
      </c>
      <c r="CB60" s="3">
        <v>1</v>
      </c>
      <c r="CC60" s="3">
        <v>1</v>
      </c>
      <c r="CD60" s="3">
        <v>1</v>
      </c>
      <c r="CE60" s="3">
        <v>1</v>
      </c>
      <c r="CF60" s="3">
        <v>1</v>
      </c>
      <c r="CG60" s="3">
        <v>0</v>
      </c>
      <c r="CH60" s="3">
        <v>0</v>
      </c>
      <c r="CI60" s="3">
        <v>1</v>
      </c>
      <c r="CJ60" s="3">
        <v>0</v>
      </c>
      <c r="CK60" s="3">
        <v>0</v>
      </c>
      <c r="CL60" s="3">
        <v>1</v>
      </c>
      <c r="CM60" s="3">
        <v>0</v>
      </c>
      <c r="CN60" s="3">
        <v>0</v>
      </c>
      <c r="CO60" s="3">
        <v>0</v>
      </c>
      <c r="CP60" s="3">
        <v>0</v>
      </c>
      <c r="CQ60" s="3">
        <v>1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4">
        <v>0</v>
      </c>
      <c r="DD60" s="19" t="s">
        <v>138</v>
      </c>
    </row>
    <row r="61" spans="1:108" x14ac:dyDescent="0.3">
      <c r="A61" s="2" t="s">
        <v>139</v>
      </c>
      <c r="B61" s="6">
        <v>0</v>
      </c>
      <c r="C61" s="6">
        <v>0</v>
      </c>
      <c r="D61" s="6">
        <v>1</v>
      </c>
      <c r="E61" s="6">
        <v>0</v>
      </c>
      <c r="F61" s="6">
        <v>0</v>
      </c>
      <c r="G61" s="7">
        <v>0</v>
      </c>
      <c r="H61" s="2">
        <v>1</v>
      </c>
      <c r="I61" s="3">
        <v>180</v>
      </c>
      <c r="J61" s="3">
        <v>0.5</v>
      </c>
      <c r="K61" s="3">
        <v>10</v>
      </c>
      <c r="L61" s="4">
        <v>0</v>
      </c>
      <c r="M61" s="19" t="s">
        <v>56</v>
      </c>
      <c r="N61" s="19">
        <v>35</v>
      </c>
      <c r="O61" s="19">
        <v>17.5</v>
      </c>
      <c r="P61" s="19">
        <v>431</v>
      </c>
      <c r="Q61" s="19">
        <v>320</v>
      </c>
      <c r="R61" s="19">
        <f t="shared" si="0"/>
        <v>111</v>
      </c>
      <c r="T61" s="2">
        <v>0.62970000000000004</v>
      </c>
      <c r="U61" s="3">
        <v>0.31159999999999999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1.9099999999999999E-2</v>
      </c>
      <c r="AB61" s="3">
        <v>0</v>
      </c>
      <c r="AC61" s="3">
        <v>4.4000000000000003E-3</v>
      </c>
      <c r="AD61" s="3">
        <v>1.1399999999999999E-2</v>
      </c>
      <c r="AE61" s="3">
        <v>1.1599999999999999E-2</v>
      </c>
      <c r="AF61" s="3">
        <v>7.0999999999999995E-3</v>
      </c>
      <c r="AG61" s="3">
        <v>5.1999999999999998E-3</v>
      </c>
      <c r="AH61" s="3">
        <v>0</v>
      </c>
      <c r="AI61" s="3">
        <v>0</v>
      </c>
      <c r="AJ61" s="3">
        <v>0</v>
      </c>
      <c r="AK61" s="3">
        <v>0</v>
      </c>
      <c r="AL61" s="4">
        <v>0</v>
      </c>
      <c r="BZ61" s="2">
        <v>0</v>
      </c>
      <c r="CA61" s="3">
        <v>0</v>
      </c>
      <c r="CB61" s="3">
        <v>0</v>
      </c>
      <c r="CC61" s="3">
        <v>1</v>
      </c>
      <c r="CD61" s="3">
        <v>1</v>
      </c>
      <c r="CE61" s="3">
        <v>0</v>
      </c>
      <c r="CF61" s="3">
        <v>1</v>
      </c>
      <c r="CG61" s="3">
        <v>0</v>
      </c>
      <c r="CH61" s="3">
        <v>0</v>
      </c>
      <c r="CI61" s="3">
        <v>1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1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4">
        <v>0</v>
      </c>
      <c r="DD61" s="19" t="s">
        <v>140</v>
      </c>
    </row>
    <row r="62" spans="1:108" x14ac:dyDescent="0.3">
      <c r="A62" s="2" t="s">
        <v>141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4">
        <v>0</v>
      </c>
      <c r="H62" s="2">
        <v>1</v>
      </c>
      <c r="I62" s="3">
        <v>150</v>
      </c>
      <c r="J62" s="3">
        <v>5</v>
      </c>
      <c r="K62" s="3">
        <v>0</v>
      </c>
      <c r="L62" s="4">
        <v>0</v>
      </c>
      <c r="M62" s="19" t="s">
        <v>56</v>
      </c>
      <c r="N62" s="19">
        <v>5</v>
      </c>
      <c r="O62" s="19">
        <v>3.6</v>
      </c>
      <c r="P62" s="19" t="s">
        <v>56</v>
      </c>
      <c r="Q62" s="19" t="s">
        <v>56</v>
      </c>
      <c r="S62" s="19" t="s">
        <v>1</v>
      </c>
      <c r="DD62" s="19" t="s">
        <v>142</v>
      </c>
    </row>
    <row r="63" spans="1:108" x14ac:dyDescent="0.3">
      <c r="A63" s="2" t="s">
        <v>141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4">
        <v>0</v>
      </c>
      <c r="H63" s="2">
        <v>1.5</v>
      </c>
      <c r="I63" s="3">
        <v>180</v>
      </c>
      <c r="J63" s="3">
        <v>10</v>
      </c>
      <c r="K63" s="3">
        <v>0</v>
      </c>
      <c r="L63" s="4">
        <v>0</v>
      </c>
      <c r="M63" s="19" t="s">
        <v>56</v>
      </c>
      <c r="N63" s="19">
        <v>5</v>
      </c>
      <c r="O63" s="19">
        <v>15.6</v>
      </c>
      <c r="P63" s="19">
        <v>435</v>
      </c>
      <c r="Q63" s="19">
        <v>360</v>
      </c>
      <c r="R63" s="19">
        <f>P63-Q63</f>
        <v>75</v>
      </c>
      <c r="S63" s="19" t="s">
        <v>1</v>
      </c>
      <c r="T63" s="2">
        <v>0.50309999999999999</v>
      </c>
      <c r="U63" s="3">
        <v>0.21329999999999999</v>
      </c>
      <c r="V63" s="3">
        <v>0.28360000000000002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4">
        <v>0</v>
      </c>
      <c r="BZ63" s="2">
        <v>0</v>
      </c>
      <c r="CA63" s="3">
        <v>0</v>
      </c>
      <c r="CB63" s="3">
        <v>1</v>
      </c>
      <c r="CC63" s="3">
        <v>1</v>
      </c>
      <c r="CD63" s="3">
        <v>1</v>
      </c>
      <c r="CE63" s="3">
        <v>1</v>
      </c>
      <c r="CF63" s="3">
        <v>1</v>
      </c>
      <c r="CG63" s="3">
        <v>0</v>
      </c>
      <c r="CH63" s="3">
        <v>0</v>
      </c>
      <c r="CI63" s="3">
        <v>1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4">
        <v>0</v>
      </c>
      <c r="DD63" s="19" t="s">
        <v>142</v>
      </c>
    </row>
    <row r="64" spans="1:108" x14ac:dyDescent="0.3">
      <c r="A64" s="2" t="s">
        <v>141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4">
        <v>0</v>
      </c>
      <c r="H64" s="2">
        <v>2</v>
      </c>
      <c r="I64" s="3">
        <v>210</v>
      </c>
      <c r="J64" s="3">
        <v>15</v>
      </c>
      <c r="K64" s="3">
        <v>0</v>
      </c>
      <c r="L64" s="4">
        <v>0</v>
      </c>
      <c r="M64" s="19" t="s">
        <v>56</v>
      </c>
      <c r="N64" s="19">
        <v>5</v>
      </c>
      <c r="O64" s="19">
        <v>6</v>
      </c>
      <c r="P64" s="19" t="s">
        <v>56</v>
      </c>
      <c r="Q64" s="19" t="s">
        <v>56</v>
      </c>
      <c r="S64" s="19" t="s">
        <v>1</v>
      </c>
      <c r="DD64" s="19" t="s">
        <v>142</v>
      </c>
    </row>
    <row r="65" spans="1:108" x14ac:dyDescent="0.3">
      <c r="A65" s="2" t="s">
        <v>141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4">
        <v>0</v>
      </c>
      <c r="H65" s="2">
        <v>2.5</v>
      </c>
      <c r="I65" s="3">
        <v>240</v>
      </c>
      <c r="J65" s="3">
        <v>20</v>
      </c>
      <c r="K65" s="3">
        <v>0</v>
      </c>
      <c r="L65" s="4">
        <v>0</v>
      </c>
      <c r="M65" s="19" t="s">
        <v>56</v>
      </c>
      <c r="N65" s="19">
        <v>5</v>
      </c>
      <c r="O65" s="19">
        <v>9</v>
      </c>
      <c r="P65" s="19" t="s">
        <v>56</v>
      </c>
      <c r="Q65" s="19" t="s">
        <v>56</v>
      </c>
      <c r="S65" s="19" t="s">
        <v>1</v>
      </c>
      <c r="DD65" s="19" t="s">
        <v>142</v>
      </c>
    </row>
    <row r="66" spans="1:108" x14ac:dyDescent="0.3">
      <c r="A66" s="2" t="s">
        <v>141</v>
      </c>
      <c r="B66" s="3">
        <v>1</v>
      </c>
      <c r="C66" s="3">
        <v>0</v>
      </c>
      <c r="D66" s="3">
        <v>0</v>
      </c>
      <c r="E66" s="3">
        <v>0</v>
      </c>
      <c r="F66" s="3">
        <v>0</v>
      </c>
      <c r="G66" s="4">
        <v>0</v>
      </c>
      <c r="H66" s="2">
        <v>3</v>
      </c>
      <c r="I66" s="3">
        <v>270</v>
      </c>
      <c r="J66" s="3">
        <v>25</v>
      </c>
      <c r="K66" s="3">
        <v>0</v>
      </c>
      <c r="L66" s="4">
        <v>0</v>
      </c>
      <c r="M66" s="19" t="s">
        <v>56</v>
      </c>
      <c r="N66" s="19">
        <v>5</v>
      </c>
      <c r="O66" s="19">
        <v>4.5</v>
      </c>
      <c r="P66" s="19" t="s">
        <v>56</v>
      </c>
      <c r="Q66" s="19" t="s">
        <v>56</v>
      </c>
      <c r="S66" s="19" t="s">
        <v>1</v>
      </c>
      <c r="DD66" s="19" t="s">
        <v>142</v>
      </c>
    </row>
    <row r="67" spans="1:108" x14ac:dyDescent="0.3">
      <c r="A67" s="2" t="s">
        <v>143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  <c r="G67" s="4">
        <v>0</v>
      </c>
      <c r="H67" s="2">
        <v>3</v>
      </c>
      <c r="I67" s="3">
        <v>180</v>
      </c>
      <c r="J67" s="3">
        <v>2</v>
      </c>
      <c r="K67" s="3">
        <v>10</v>
      </c>
      <c r="L67" s="4">
        <v>0</v>
      </c>
      <c r="M67" s="19" t="s">
        <v>56</v>
      </c>
      <c r="N67" s="19">
        <v>3.6</v>
      </c>
      <c r="O67" s="19">
        <v>13.6</v>
      </c>
      <c r="P67" s="19">
        <v>420</v>
      </c>
      <c r="Q67" s="19">
        <v>330</v>
      </c>
      <c r="R67" s="19">
        <f t="shared" ref="R67:R80" si="1">P67-Q67</f>
        <v>90</v>
      </c>
      <c r="S67" s="19" t="s">
        <v>1</v>
      </c>
      <c r="T67" s="2">
        <v>0.64139999999999997</v>
      </c>
      <c r="U67" s="3">
        <v>0.27529999999999999</v>
      </c>
      <c r="V67" s="3">
        <v>8.3299999999999999E-2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4">
        <v>0</v>
      </c>
      <c r="AM67" s="2">
        <v>1</v>
      </c>
      <c r="AN67" s="3">
        <v>0</v>
      </c>
      <c r="AO67" s="3">
        <v>0</v>
      </c>
      <c r="AP67" s="3">
        <v>0</v>
      </c>
      <c r="AQ67" s="3">
        <v>1</v>
      </c>
      <c r="AR67" s="3">
        <v>1</v>
      </c>
      <c r="AS67" s="3">
        <v>0</v>
      </c>
      <c r="AT67" s="3">
        <v>1</v>
      </c>
      <c r="AU67" s="3">
        <v>0</v>
      </c>
      <c r="AV67" s="3">
        <v>1</v>
      </c>
      <c r="AW67" s="3">
        <v>0</v>
      </c>
      <c r="AX67" s="3">
        <v>0</v>
      </c>
      <c r="AY67" s="3">
        <v>1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1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4">
        <v>0</v>
      </c>
      <c r="BZ67" s="2">
        <v>0</v>
      </c>
      <c r="CA67" s="3">
        <v>0</v>
      </c>
      <c r="CB67" s="3">
        <v>0</v>
      </c>
      <c r="CC67" s="3">
        <v>0</v>
      </c>
      <c r="CD67" s="3">
        <v>1</v>
      </c>
      <c r="CE67" s="3">
        <v>1</v>
      </c>
      <c r="CF67" s="3">
        <v>1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1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4">
        <v>0</v>
      </c>
      <c r="DD67" s="19" t="s">
        <v>63</v>
      </c>
    </row>
    <row r="68" spans="1:108" x14ac:dyDescent="0.3">
      <c r="A68" s="2" t="s">
        <v>144</v>
      </c>
      <c r="B68" s="6">
        <v>0</v>
      </c>
      <c r="C68" s="6">
        <v>0</v>
      </c>
      <c r="D68" s="6">
        <v>0</v>
      </c>
      <c r="E68" s="6">
        <v>0</v>
      </c>
      <c r="F68" s="3">
        <v>1</v>
      </c>
      <c r="G68" s="7">
        <v>0</v>
      </c>
      <c r="H68" s="2">
        <v>0.17</v>
      </c>
      <c r="I68" s="3">
        <v>270</v>
      </c>
      <c r="J68" s="3">
        <v>20</v>
      </c>
      <c r="K68" s="3">
        <v>500</v>
      </c>
      <c r="L68" s="4">
        <v>0</v>
      </c>
      <c r="M68" s="19" t="s">
        <v>56</v>
      </c>
      <c r="N68" s="19">
        <v>2.1</v>
      </c>
      <c r="O68" s="19">
        <v>16</v>
      </c>
      <c r="P68" s="19">
        <v>460</v>
      </c>
      <c r="Q68" s="19">
        <v>365</v>
      </c>
      <c r="R68" s="19">
        <f t="shared" si="1"/>
        <v>95</v>
      </c>
      <c r="S68" s="19" t="s">
        <v>1</v>
      </c>
      <c r="AM68" s="2">
        <v>1</v>
      </c>
      <c r="AN68" s="3">
        <v>0</v>
      </c>
      <c r="AO68" s="3">
        <v>1</v>
      </c>
      <c r="AP68" s="3">
        <v>1</v>
      </c>
      <c r="AQ68" s="3">
        <v>0</v>
      </c>
      <c r="AR68" s="3">
        <v>1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1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1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4">
        <v>0</v>
      </c>
      <c r="BZ68" s="2">
        <v>1</v>
      </c>
      <c r="CA68" s="3">
        <v>0</v>
      </c>
      <c r="CB68" s="3">
        <v>1</v>
      </c>
      <c r="CC68" s="3">
        <v>1</v>
      </c>
      <c r="CD68" s="3">
        <v>1</v>
      </c>
      <c r="CE68" s="3">
        <v>0</v>
      </c>
      <c r="CF68" s="3">
        <v>1</v>
      </c>
      <c r="CG68" s="3">
        <v>0</v>
      </c>
      <c r="CH68" s="3">
        <v>0</v>
      </c>
      <c r="CI68" s="3">
        <v>1</v>
      </c>
      <c r="CJ68" s="3">
        <v>0</v>
      </c>
      <c r="CK68" s="3">
        <v>0</v>
      </c>
      <c r="CL68" s="3">
        <v>1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4">
        <v>0</v>
      </c>
      <c r="DD68" s="19" t="s">
        <v>145</v>
      </c>
    </row>
    <row r="69" spans="1:108" x14ac:dyDescent="0.3">
      <c r="A69" s="2" t="s">
        <v>146</v>
      </c>
      <c r="B69" s="3">
        <v>0</v>
      </c>
      <c r="C69" s="3">
        <v>1</v>
      </c>
      <c r="D69" s="3">
        <v>0</v>
      </c>
      <c r="E69" s="3">
        <v>0</v>
      </c>
      <c r="F69" s="3">
        <v>0</v>
      </c>
      <c r="G69" s="4">
        <v>0</v>
      </c>
      <c r="H69" s="2">
        <v>5</v>
      </c>
      <c r="I69" s="3">
        <v>180</v>
      </c>
      <c r="J69" s="3">
        <v>4</v>
      </c>
      <c r="K69" s="3">
        <v>1</v>
      </c>
      <c r="L69" s="4">
        <v>0</v>
      </c>
      <c r="M69" s="19" t="s">
        <v>56</v>
      </c>
      <c r="N69" s="19">
        <v>4.5999999999999996</v>
      </c>
      <c r="O69" s="19">
        <v>19.3</v>
      </c>
      <c r="P69" s="19">
        <v>450</v>
      </c>
      <c r="Q69" s="19">
        <v>360</v>
      </c>
      <c r="R69" s="19">
        <f t="shared" si="1"/>
        <v>90</v>
      </c>
      <c r="S69" s="19" t="s">
        <v>1</v>
      </c>
      <c r="DD69" s="19" t="s">
        <v>147</v>
      </c>
    </row>
    <row r="70" spans="1:108" x14ac:dyDescent="0.3">
      <c r="A70" s="2" t="s">
        <v>148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  <c r="G70" s="4">
        <v>0</v>
      </c>
      <c r="H70" s="2">
        <v>10</v>
      </c>
      <c r="I70" s="3">
        <v>250</v>
      </c>
      <c r="J70" s="3">
        <v>0.2</v>
      </c>
      <c r="K70" s="3">
        <v>10</v>
      </c>
      <c r="L70" s="4">
        <v>0</v>
      </c>
      <c r="M70" s="19">
        <v>20</v>
      </c>
      <c r="N70" s="19">
        <v>1.7</v>
      </c>
      <c r="O70" s="19">
        <v>9.3000000000000007</v>
      </c>
      <c r="P70" s="19">
        <v>418</v>
      </c>
      <c r="Q70" s="19">
        <v>304</v>
      </c>
      <c r="R70" s="19">
        <f t="shared" si="1"/>
        <v>114</v>
      </c>
      <c r="S70" s="19" t="s">
        <v>1</v>
      </c>
      <c r="T70" s="2">
        <v>0.81359999999999999</v>
      </c>
      <c r="U70" s="3">
        <v>0.15740000000000001</v>
      </c>
      <c r="V70" s="3">
        <v>1.8500000000000003E-2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1.0500000000000001E-2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4">
        <v>0</v>
      </c>
      <c r="AM70" s="2">
        <v>0</v>
      </c>
      <c r="AN70" s="3">
        <v>0</v>
      </c>
      <c r="AO70" s="3">
        <v>1</v>
      </c>
      <c r="AP70" s="3">
        <v>1</v>
      </c>
      <c r="AQ70" s="3">
        <v>1</v>
      </c>
      <c r="AR70" s="3">
        <v>0</v>
      </c>
      <c r="AS70" s="3">
        <v>0</v>
      </c>
      <c r="AT70" s="3">
        <v>1</v>
      </c>
      <c r="AU70" s="3">
        <v>0</v>
      </c>
      <c r="AV70" s="3">
        <v>1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1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4">
        <v>0</v>
      </c>
      <c r="DD70" s="20" t="s">
        <v>149</v>
      </c>
    </row>
    <row r="71" spans="1:108" x14ac:dyDescent="0.3">
      <c r="A71" s="2" t="s">
        <v>150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  <c r="G71" s="4">
        <v>0</v>
      </c>
      <c r="H71" s="2">
        <v>11</v>
      </c>
      <c r="I71" s="3">
        <v>180</v>
      </c>
      <c r="J71" s="3">
        <v>5</v>
      </c>
      <c r="K71" s="3">
        <v>25</v>
      </c>
      <c r="L71" s="4">
        <v>0</v>
      </c>
      <c r="M71" s="19" t="s">
        <v>56</v>
      </c>
      <c r="N71" s="19">
        <v>5</v>
      </c>
      <c r="O71" s="19">
        <v>10.37</v>
      </c>
      <c r="P71" s="19">
        <v>503</v>
      </c>
      <c r="Q71" s="19">
        <v>441</v>
      </c>
      <c r="R71" s="19">
        <f t="shared" si="1"/>
        <v>62</v>
      </c>
      <c r="S71" s="19" t="s">
        <v>1</v>
      </c>
      <c r="DD71" s="19" t="s">
        <v>151</v>
      </c>
    </row>
    <row r="72" spans="1:108" x14ac:dyDescent="0.3">
      <c r="A72" s="2" t="s">
        <v>152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  <c r="G72" s="4">
        <v>0</v>
      </c>
      <c r="H72" s="2">
        <v>12</v>
      </c>
      <c r="I72" s="3">
        <v>200</v>
      </c>
      <c r="J72" s="3">
        <v>2</v>
      </c>
      <c r="K72" s="3">
        <v>10</v>
      </c>
      <c r="L72" s="4">
        <v>0</v>
      </c>
      <c r="M72" s="19" t="s">
        <v>56</v>
      </c>
      <c r="N72" s="19">
        <v>3.4</v>
      </c>
      <c r="O72" s="19">
        <v>35.700000000000003</v>
      </c>
      <c r="P72" s="19">
        <v>465</v>
      </c>
      <c r="Q72" s="19">
        <v>370</v>
      </c>
      <c r="R72" s="19">
        <f t="shared" si="1"/>
        <v>95</v>
      </c>
      <c r="S72" s="19" t="s">
        <v>1</v>
      </c>
      <c r="BZ72" s="2">
        <v>0</v>
      </c>
      <c r="CA72" s="3">
        <v>0</v>
      </c>
      <c r="CB72" s="3">
        <v>1</v>
      </c>
      <c r="CC72" s="3">
        <v>1</v>
      </c>
      <c r="CD72" s="3">
        <v>1</v>
      </c>
      <c r="CE72" s="3">
        <v>0</v>
      </c>
      <c r="CF72" s="3">
        <v>1</v>
      </c>
      <c r="CG72" s="3">
        <v>0</v>
      </c>
      <c r="CH72" s="3">
        <v>0</v>
      </c>
      <c r="CI72" s="3">
        <v>1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4">
        <v>0</v>
      </c>
      <c r="DD72" s="20" t="s">
        <v>153</v>
      </c>
    </row>
    <row r="73" spans="1:108" x14ac:dyDescent="0.3">
      <c r="A73" s="2" t="s">
        <v>154</v>
      </c>
      <c r="B73" s="3">
        <v>0</v>
      </c>
      <c r="C73" s="3">
        <v>1</v>
      </c>
      <c r="D73" s="3">
        <v>0</v>
      </c>
      <c r="E73" s="3">
        <v>0</v>
      </c>
      <c r="F73" s="3">
        <v>0</v>
      </c>
      <c r="G73" s="4">
        <v>0</v>
      </c>
      <c r="H73" s="2">
        <v>12</v>
      </c>
      <c r="I73" s="3">
        <v>200</v>
      </c>
      <c r="J73" s="3">
        <v>2</v>
      </c>
      <c r="K73" s="3">
        <v>10</v>
      </c>
      <c r="L73" s="4">
        <v>0</v>
      </c>
      <c r="M73" s="19" t="s">
        <v>56</v>
      </c>
      <c r="N73" s="19">
        <v>3.1</v>
      </c>
      <c r="O73" s="19">
        <v>26.8</v>
      </c>
      <c r="P73" s="19">
        <v>477</v>
      </c>
      <c r="Q73" s="19">
        <v>380</v>
      </c>
      <c r="R73" s="19">
        <f t="shared" si="1"/>
        <v>97</v>
      </c>
      <c r="S73" s="19" t="s">
        <v>1</v>
      </c>
      <c r="BZ73" s="2">
        <v>0</v>
      </c>
      <c r="CA73" s="3">
        <v>0</v>
      </c>
      <c r="CB73" s="3">
        <v>1</v>
      </c>
      <c r="CC73" s="3">
        <v>0</v>
      </c>
      <c r="CD73" s="3">
        <v>1</v>
      </c>
      <c r="CE73" s="3">
        <v>0</v>
      </c>
      <c r="CF73" s="3">
        <v>1</v>
      </c>
      <c r="CG73" s="3">
        <v>0</v>
      </c>
      <c r="CH73" s="3">
        <v>0</v>
      </c>
      <c r="CI73" s="3">
        <v>1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1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4">
        <v>0</v>
      </c>
      <c r="DD73" s="19" t="s">
        <v>153</v>
      </c>
    </row>
    <row r="74" spans="1:108" x14ac:dyDescent="0.3">
      <c r="A74" s="2" t="s">
        <v>155</v>
      </c>
      <c r="B74" s="3">
        <v>0</v>
      </c>
      <c r="C74" s="3">
        <v>1</v>
      </c>
      <c r="D74" s="3">
        <v>0</v>
      </c>
      <c r="E74" s="3">
        <v>0</v>
      </c>
      <c r="F74" s="3">
        <v>0</v>
      </c>
      <c r="G74" s="4">
        <v>0</v>
      </c>
      <c r="H74" s="2">
        <v>12</v>
      </c>
      <c r="I74" s="3">
        <v>200</v>
      </c>
      <c r="J74" s="3">
        <v>2</v>
      </c>
      <c r="K74" s="3">
        <v>10</v>
      </c>
      <c r="L74" s="4">
        <v>0</v>
      </c>
      <c r="M74" s="19" t="s">
        <v>56</v>
      </c>
      <c r="N74" s="19">
        <v>4.3</v>
      </c>
      <c r="O74" s="19">
        <v>38.299999999999997</v>
      </c>
      <c r="P74" s="19">
        <v>460</v>
      </c>
      <c r="Q74" s="19">
        <v>370</v>
      </c>
      <c r="R74" s="19">
        <f t="shared" si="1"/>
        <v>90</v>
      </c>
      <c r="S74" s="19" t="s">
        <v>1</v>
      </c>
      <c r="BZ74" s="2">
        <v>0</v>
      </c>
      <c r="CA74" s="3">
        <v>0</v>
      </c>
      <c r="CB74" s="3">
        <v>0</v>
      </c>
      <c r="CC74" s="3">
        <v>1</v>
      </c>
      <c r="CD74" s="3">
        <v>1</v>
      </c>
      <c r="CE74" s="3">
        <v>0</v>
      </c>
      <c r="CF74" s="3">
        <v>1</v>
      </c>
      <c r="CG74" s="3">
        <v>0</v>
      </c>
      <c r="CH74" s="3">
        <v>0</v>
      </c>
      <c r="CI74" s="3">
        <v>1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4">
        <v>0</v>
      </c>
      <c r="DD74" s="19" t="s">
        <v>153</v>
      </c>
    </row>
    <row r="75" spans="1:108" x14ac:dyDescent="0.3">
      <c r="A75" s="2" t="s">
        <v>156</v>
      </c>
      <c r="B75" s="3">
        <v>0</v>
      </c>
      <c r="C75" s="3">
        <v>1</v>
      </c>
      <c r="D75" s="3">
        <v>0</v>
      </c>
      <c r="E75" s="3">
        <v>0</v>
      </c>
      <c r="F75" s="3">
        <v>0</v>
      </c>
      <c r="G75" s="4">
        <v>0</v>
      </c>
      <c r="H75" s="2">
        <v>12</v>
      </c>
      <c r="I75" s="3">
        <v>200</v>
      </c>
      <c r="J75" s="3">
        <v>2</v>
      </c>
      <c r="K75" s="3">
        <v>10</v>
      </c>
      <c r="L75" s="4">
        <v>0</v>
      </c>
      <c r="M75" s="19" t="s">
        <v>56</v>
      </c>
      <c r="N75" s="19">
        <v>3.5</v>
      </c>
      <c r="O75" s="19">
        <v>43.6</v>
      </c>
      <c r="P75" s="19">
        <v>489</v>
      </c>
      <c r="Q75" s="19">
        <v>390</v>
      </c>
      <c r="R75" s="19">
        <f t="shared" si="1"/>
        <v>99</v>
      </c>
      <c r="S75" s="19" t="s">
        <v>1</v>
      </c>
      <c r="BZ75" s="2">
        <v>0</v>
      </c>
      <c r="CA75" s="3">
        <v>0</v>
      </c>
      <c r="CB75" s="3">
        <v>1</v>
      </c>
      <c r="CC75" s="3">
        <v>1</v>
      </c>
      <c r="CD75" s="3">
        <v>1</v>
      </c>
      <c r="CE75" s="3">
        <v>0</v>
      </c>
      <c r="CF75" s="3">
        <v>1</v>
      </c>
      <c r="CG75" s="3">
        <v>0</v>
      </c>
      <c r="CH75" s="3">
        <v>0</v>
      </c>
      <c r="CI75" s="3">
        <v>1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1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4">
        <v>0</v>
      </c>
      <c r="DD75" s="19" t="s">
        <v>153</v>
      </c>
    </row>
    <row r="76" spans="1:108" x14ac:dyDescent="0.3">
      <c r="A76" s="2" t="s">
        <v>157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  <c r="G76" s="4">
        <v>0</v>
      </c>
      <c r="H76" s="2">
        <v>3</v>
      </c>
      <c r="I76" s="3">
        <v>200</v>
      </c>
      <c r="J76" s="3">
        <v>0.5</v>
      </c>
      <c r="K76" s="3">
        <v>15</v>
      </c>
      <c r="L76" s="4">
        <v>0</v>
      </c>
      <c r="N76" s="19">
        <v>11</v>
      </c>
      <c r="O76" s="19">
        <v>17.5</v>
      </c>
      <c r="P76" s="19">
        <v>442</v>
      </c>
      <c r="Q76" s="19">
        <v>360</v>
      </c>
      <c r="R76" s="19">
        <f t="shared" si="1"/>
        <v>82</v>
      </c>
      <c r="S76" s="19" t="s">
        <v>1</v>
      </c>
      <c r="T76" s="2">
        <v>0.72199999999999998</v>
      </c>
      <c r="U76" s="3">
        <v>0.19899999999999998</v>
      </c>
      <c r="V76" s="3">
        <v>6.9000000000000006E-2</v>
      </c>
      <c r="W76" s="3">
        <v>0</v>
      </c>
      <c r="X76" s="3">
        <v>0</v>
      </c>
      <c r="Y76" s="3">
        <v>0.01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4">
        <v>0</v>
      </c>
      <c r="AM76" s="2">
        <v>0</v>
      </c>
      <c r="AN76" s="3">
        <v>0</v>
      </c>
      <c r="AO76" s="3">
        <v>1</v>
      </c>
      <c r="AP76" s="3">
        <v>1</v>
      </c>
      <c r="AQ76" s="3">
        <v>1</v>
      </c>
      <c r="AR76" s="3">
        <v>1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1</v>
      </c>
      <c r="AZ76" s="3">
        <v>1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1</v>
      </c>
      <c r="BG76" s="3">
        <v>0</v>
      </c>
      <c r="BH76" s="3">
        <v>0</v>
      </c>
      <c r="BI76" s="3">
        <v>1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1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4">
        <v>0</v>
      </c>
      <c r="BZ76" s="2">
        <v>0</v>
      </c>
      <c r="CA76" s="3">
        <v>0</v>
      </c>
      <c r="CB76" s="3">
        <v>1</v>
      </c>
      <c r="CC76" s="3">
        <v>1</v>
      </c>
      <c r="CD76" s="3">
        <v>1</v>
      </c>
      <c r="CE76" s="3">
        <v>0</v>
      </c>
      <c r="CF76" s="3">
        <v>1</v>
      </c>
      <c r="CG76" s="3">
        <v>0</v>
      </c>
      <c r="CH76" s="3">
        <v>0</v>
      </c>
      <c r="CI76" s="3">
        <v>1</v>
      </c>
      <c r="CJ76" s="3">
        <v>1</v>
      </c>
      <c r="CK76" s="3">
        <v>0</v>
      </c>
      <c r="CL76" s="3">
        <v>1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4">
        <v>0</v>
      </c>
      <c r="DD76" s="19" t="s">
        <v>158</v>
      </c>
    </row>
    <row r="77" spans="1:108" x14ac:dyDescent="0.3">
      <c r="A77" s="2" t="s">
        <v>159</v>
      </c>
      <c r="B77" s="3">
        <v>1</v>
      </c>
      <c r="C77" s="3">
        <v>0</v>
      </c>
      <c r="D77" s="3">
        <v>0</v>
      </c>
      <c r="E77" s="3">
        <v>0</v>
      </c>
      <c r="F77" s="3">
        <v>0</v>
      </c>
      <c r="G77" s="4">
        <v>0</v>
      </c>
      <c r="H77" s="2">
        <v>5</v>
      </c>
      <c r="I77" s="3">
        <v>180</v>
      </c>
      <c r="J77" s="3">
        <v>0.3</v>
      </c>
      <c r="K77" s="3">
        <v>50</v>
      </c>
      <c r="L77" s="4">
        <v>0</v>
      </c>
      <c r="N77" s="19">
        <v>2.08</v>
      </c>
      <c r="O77" s="19">
        <v>10.7</v>
      </c>
      <c r="P77" s="19">
        <v>450</v>
      </c>
      <c r="Q77" s="19">
        <v>360</v>
      </c>
      <c r="R77" s="19">
        <f t="shared" si="1"/>
        <v>90</v>
      </c>
      <c r="S77" s="19" t="s">
        <v>1</v>
      </c>
      <c r="T77" s="2">
        <v>0.65700000000000003</v>
      </c>
      <c r="U77" s="3">
        <v>0.26649999999999996</v>
      </c>
      <c r="V77" s="3">
        <v>7.1300000000000002E-2</v>
      </c>
      <c r="W77" s="3">
        <v>0</v>
      </c>
      <c r="X77" s="3">
        <v>0</v>
      </c>
      <c r="Y77" s="3">
        <v>5.1999999999999998E-3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4">
        <v>0</v>
      </c>
      <c r="AM77" s="2">
        <v>1</v>
      </c>
      <c r="AN77" s="3">
        <v>0</v>
      </c>
      <c r="AO77" s="3">
        <v>1</v>
      </c>
      <c r="AP77" s="3">
        <v>1</v>
      </c>
      <c r="AQ77" s="3">
        <v>1</v>
      </c>
      <c r="AR77" s="3">
        <v>1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1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1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4">
        <v>0</v>
      </c>
      <c r="BZ77" s="2">
        <v>1</v>
      </c>
      <c r="CA77" s="3">
        <v>0</v>
      </c>
      <c r="CB77" s="3">
        <v>1</v>
      </c>
      <c r="CC77" s="3">
        <v>1</v>
      </c>
      <c r="CD77" s="3">
        <v>1</v>
      </c>
      <c r="CE77" s="3">
        <v>1</v>
      </c>
      <c r="CF77" s="3">
        <v>1</v>
      </c>
      <c r="CG77" s="3">
        <v>0</v>
      </c>
      <c r="CH77" s="3">
        <v>0</v>
      </c>
      <c r="CI77" s="3">
        <v>1</v>
      </c>
      <c r="CJ77" s="3">
        <v>1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1</v>
      </c>
      <c r="CR77" s="3">
        <v>0</v>
      </c>
      <c r="CS77" s="3">
        <v>0</v>
      </c>
      <c r="CT77" s="3">
        <v>0</v>
      </c>
      <c r="CU77" s="3">
        <v>0</v>
      </c>
      <c r="CV77" s="3">
        <v>1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4">
        <v>0</v>
      </c>
      <c r="DD77" s="19" t="s">
        <v>160</v>
      </c>
    </row>
    <row r="78" spans="1:108" x14ac:dyDescent="0.3">
      <c r="A78" s="2" t="s">
        <v>161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  <c r="G78" s="4">
        <v>0</v>
      </c>
      <c r="H78" s="2">
        <v>20</v>
      </c>
      <c r="I78" s="3">
        <v>240</v>
      </c>
      <c r="J78" s="3">
        <v>0.5</v>
      </c>
      <c r="K78" s="3">
        <v>10</v>
      </c>
      <c r="L78" s="4">
        <v>0</v>
      </c>
      <c r="N78" s="19">
        <v>2.6</v>
      </c>
      <c r="O78" s="19">
        <v>21</v>
      </c>
      <c r="P78" s="19">
        <v>410</v>
      </c>
      <c r="Q78" s="19">
        <v>330</v>
      </c>
      <c r="R78" s="19">
        <f t="shared" si="1"/>
        <v>80</v>
      </c>
      <c r="S78" s="19" t="s">
        <v>1</v>
      </c>
      <c r="T78" s="2">
        <v>0.63090000000000002</v>
      </c>
      <c r="U78" s="3">
        <v>0.32420000000000004</v>
      </c>
      <c r="V78" s="3">
        <v>3.3399999999999999E-2</v>
      </c>
      <c r="W78" s="3">
        <v>0</v>
      </c>
      <c r="X78" s="3">
        <v>0</v>
      </c>
      <c r="Y78" s="3">
        <v>1.15E-2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4">
        <v>0</v>
      </c>
      <c r="AM78" s="2">
        <v>1</v>
      </c>
      <c r="AN78" s="3">
        <v>0</v>
      </c>
      <c r="AO78" s="3">
        <v>1</v>
      </c>
      <c r="AP78" s="3">
        <v>1</v>
      </c>
      <c r="AQ78" s="3">
        <v>1</v>
      </c>
      <c r="AR78" s="3">
        <v>1</v>
      </c>
      <c r="AS78" s="3">
        <v>0</v>
      </c>
      <c r="AT78" s="3">
        <v>1</v>
      </c>
      <c r="AU78" s="3">
        <v>0</v>
      </c>
      <c r="AV78" s="3">
        <v>1</v>
      </c>
      <c r="AW78" s="3">
        <v>0</v>
      </c>
      <c r="AX78" s="3">
        <v>0</v>
      </c>
      <c r="AY78" s="3">
        <v>1</v>
      </c>
      <c r="AZ78" s="3">
        <v>1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1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4">
        <v>0</v>
      </c>
      <c r="BZ78" s="2">
        <v>0</v>
      </c>
      <c r="CA78" s="3">
        <v>0</v>
      </c>
      <c r="CB78" s="3">
        <v>1</v>
      </c>
      <c r="CC78" s="3">
        <v>1</v>
      </c>
      <c r="CD78" s="3">
        <v>1</v>
      </c>
      <c r="CE78" s="3">
        <v>1</v>
      </c>
      <c r="CF78" s="3">
        <v>1</v>
      </c>
      <c r="CG78" s="3">
        <v>0</v>
      </c>
      <c r="CH78" s="3">
        <v>0</v>
      </c>
      <c r="CI78" s="3">
        <v>1</v>
      </c>
      <c r="CJ78" s="3">
        <v>1</v>
      </c>
      <c r="CK78" s="3">
        <v>0</v>
      </c>
      <c r="CL78" s="3">
        <v>1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4">
        <v>0</v>
      </c>
      <c r="DD78" s="19" t="s">
        <v>162</v>
      </c>
    </row>
    <row r="79" spans="1:108" x14ac:dyDescent="0.3">
      <c r="A79" s="2" t="s">
        <v>163</v>
      </c>
      <c r="B79" s="6">
        <v>0</v>
      </c>
      <c r="C79" s="6">
        <v>0</v>
      </c>
      <c r="D79" s="6">
        <v>0</v>
      </c>
      <c r="E79" s="6">
        <v>0</v>
      </c>
      <c r="F79" s="3">
        <v>1</v>
      </c>
      <c r="G79" s="7">
        <v>0</v>
      </c>
      <c r="H79" s="2">
        <v>10</v>
      </c>
      <c r="I79" s="3">
        <v>180</v>
      </c>
      <c r="J79" s="3">
        <v>1</v>
      </c>
      <c r="K79" s="3">
        <v>60</v>
      </c>
      <c r="L79" s="4">
        <v>0</v>
      </c>
      <c r="N79" s="19">
        <v>1.39</v>
      </c>
      <c r="O79" s="19">
        <v>1.39</v>
      </c>
      <c r="P79" s="19">
        <v>437</v>
      </c>
      <c r="Q79" s="19">
        <v>360</v>
      </c>
      <c r="R79" s="19">
        <f t="shared" si="1"/>
        <v>77</v>
      </c>
      <c r="S79" s="19" t="s">
        <v>1</v>
      </c>
      <c r="T79" s="2">
        <v>0.66799999999999993</v>
      </c>
      <c r="U79" s="3">
        <v>0.309</v>
      </c>
      <c r="V79" s="3">
        <v>2.3E-2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4">
        <v>0</v>
      </c>
      <c r="AM79" s="2">
        <v>1</v>
      </c>
      <c r="AN79" s="3">
        <v>0</v>
      </c>
      <c r="AO79" s="3">
        <v>1</v>
      </c>
      <c r="AP79" s="3">
        <v>1</v>
      </c>
      <c r="AQ79" s="3">
        <v>1</v>
      </c>
      <c r="AR79" s="3">
        <v>1</v>
      </c>
      <c r="AS79" s="3">
        <v>0</v>
      </c>
      <c r="AT79" s="3">
        <v>0</v>
      </c>
      <c r="AU79" s="3">
        <v>0</v>
      </c>
      <c r="AV79" s="3">
        <v>1</v>
      </c>
      <c r="AW79" s="3">
        <v>0</v>
      </c>
      <c r="AX79" s="3">
        <v>0</v>
      </c>
      <c r="AY79" s="3">
        <v>1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1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1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4">
        <v>0</v>
      </c>
      <c r="BZ79" s="2">
        <v>0</v>
      </c>
      <c r="CA79" s="3">
        <v>0</v>
      </c>
      <c r="CB79" s="3">
        <v>1</v>
      </c>
      <c r="CC79" s="3">
        <v>1</v>
      </c>
      <c r="CD79" s="3">
        <v>1</v>
      </c>
      <c r="CE79" s="3">
        <v>1</v>
      </c>
      <c r="CF79" s="3">
        <v>1</v>
      </c>
      <c r="CG79" s="3">
        <v>0</v>
      </c>
      <c r="CH79" s="3">
        <v>0</v>
      </c>
      <c r="CI79" s="3">
        <v>1</v>
      </c>
      <c r="CJ79" s="3">
        <v>0</v>
      </c>
      <c r="CK79" s="3">
        <v>0</v>
      </c>
      <c r="CL79" s="3">
        <v>1</v>
      </c>
      <c r="CM79" s="3">
        <v>0</v>
      </c>
      <c r="CN79" s="3">
        <v>0</v>
      </c>
      <c r="CO79" s="3">
        <v>0</v>
      </c>
      <c r="CP79" s="3">
        <v>0</v>
      </c>
      <c r="CQ79" s="3">
        <v>1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4">
        <v>0</v>
      </c>
      <c r="DD79" s="19" t="s">
        <v>164</v>
      </c>
    </row>
    <row r="80" spans="1:108" x14ac:dyDescent="0.3">
      <c r="A80" s="2" t="s">
        <v>165</v>
      </c>
      <c r="B80" s="3">
        <v>0</v>
      </c>
      <c r="C80" s="3">
        <v>1</v>
      </c>
      <c r="D80" s="3">
        <v>0</v>
      </c>
      <c r="E80" s="3">
        <v>0</v>
      </c>
      <c r="F80" s="3">
        <v>0</v>
      </c>
      <c r="G80" s="4">
        <v>0</v>
      </c>
      <c r="H80" s="2">
        <v>6</v>
      </c>
      <c r="I80" s="3">
        <v>160</v>
      </c>
      <c r="J80" s="3">
        <v>30</v>
      </c>
      <c r="K80" s="3">
        <v>0</v>
      </c>
      <c r="L80" s="4">
        <v>0</v>
      </c>
      <c r="N80" s="19">
        <v>5.5</v>
      </c>
      <c r="O80" s="19">
        <v>5.16</v>
      </c>
      <c r="P80" s="19">
        <v>442</v>
      </c>
      <c r="Q80" s="19">
        <v>360</v>
      </c>
      <c r="R80" s="19">
        <f t="shared" si="1"/>
        <v>82</v>
      </c>
      <c r="S80" s="19" t="s">
        <v>1</v>
      </c>
      <c r="T80" s="2">
        <v>0.65980000000000005</v>
      </c>
      <c r="U80" s="3">
        <v>0.31950000000000001</v>
      </c>
      <c r="V80" s="3">
        <v>2.0799999999999999E-2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4">
        <v>0</v>
      </c>
      <c r="AM80" s="2">
        <v>1</v>
      </c>
      <c r="AN80" s="3">
        <v>0</v>
      </c>
      <c r="AO80" s="3">
        <v>1</v>
      </c>
      <c r="AP80" s="3">
        <v>0</v>
      </c>
      <c r="AQ80" s="3">
        <v>1</v>
      </c>
      <c r="AR80" s="3">
        <v>1</v>
      </c>
      <c r="AS80" s="3">
        <v>0</v>
      </c>
      <c r="AT80" s="3">
        <v>1</v>
      </c>
      <c r="AU80" s="3">
        <v>0</v>
      </c>
      <c r="AV80" s="3">
        <v>1</v>
      </c>
      <c r="AW80" s="3">
        <v>0</v>
      </c>
      <c r="AX80" s="3">
        <v>0</v>
      </c>
      <c r="AY80" s="3">
        <v>1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1</v>
      </c>
      <c r="BF80" s="3">
        <v>0</v>
      </c>
      <c r="BG80" s="3">
        <v>0</v>
      </c>
      <c r="BH80" s="3">
        <v>0</v>
      </c>
      <c r="BI80" s="3">
        <v>1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4">
        <v>0</v>
      </c>
      <c r="BZ80" s="2">
        <v>0</v>
      </c>
      <c r="CA80" s="3">
        <v>1</v>
      </c>
      <c r="CB80" s="3">
        <v>0</v>
      </c>
      <c r="CC80" s="3">
        <v>0</v>
      </c>
      <c r="CD80" s="3">
        <v>0</v>
      </c>
      <c r="CE80" s="3">
        <v>1</v>
      </c>
      <c r="CF80" s="3">
        <v>1</v>
      </c>
      <c r="CG80" s="3">
        <v>0</v>
      </c>
      <c r="CH80" s="3">
        <v>0</v>
      </c>
      <c r="CI80" s="3">
        <v>1</v>
      </c>
      <c r="CJ80" s="3">
        <v>0</v>
      </c>
      <c r="CK80" s="3">
        <v>0</v>
      </c>
      <c r="CL80" s="3">
        <v>1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4">
        <v>0</v>
      </c>
      <c r="DD80" s="19" t="s">
        <v>166</v>
      </c>
    </row>
    <row r="81" spans="1:108" x14ac:dyDescent="0.3">
      <c r="A81" s="2" t="s">
        <v>167</v>
      </c>
      <c r="B81" s="3">
        <v>1</v>
      </c>
      <c r="C81" s="3">
        <v>0</v>
      </c>
      <c r="D81" s="3">
        <v>0</v>
      </c>
      <c r="E81" s="3">
        <v>0</v>
      </c>
      <c r="F81" s="3">
        <v>0</v>
      </c>
      <c r="G81" s="4">
        <v>0</v>
      </c>
      <c r="H81" s="2">
        <v>12</v>
      </c>
      <c r="I81" s="3">
        <v>180</v>
      </c>
      <c r="J81" s="3">
        <v>30</v>
      </c>
      <c r="K81" s="3">
        <v>0</v>
      </c>
      <c r="L81" s="4">
        <v>1</v>
      </c>
      <c r="N81" s="19">
        <v>5.2</v>
      </c>
      <c r="O81" s="19" t="s">
        <v>56</v>
      </c>
      <c r="S81" s="19" t="s">
        <v>1</v>
      </c>
      <c r="AM81" s="2">
        <v>1</v>
      </c>
      <c r="AN81" s="3">
        <v>0</v>
      </c>
      <c r="AO81" s="3">
        <v>1</v>
      </c>
      <c r="AP81" s="3">
        <v>0</v>
      </c>
      <c r="AQ81" s="3">
        <v>1</v>
      </c>
      <c r="AR81" s="3">
        <v>0</v>
      </c>
      <c r="AS81" s="3">
        <v>0</v>
      </c>
      <c r="AT81" s="3">
        <v>1</v>
      </c>
      <c r="AU81" s="3">
        <v>0</v>
      </c>
      <c r="AV81" s="3">
        <v>1</v>
      </c>
      <c r="AW81" s="3">
        <v>0</v>
      </c>
      <c r="AX81" s="3">
        <v>0</v>
      </c>
      <c r="AY81" s="3">
        <v>1</v>
      </c>
      <c r="AZ81" s="3">
        <v>0</v>
      </c>
      <c r="BA81" s="3">
        <v>0</v>
      </c>
      <c r="BB81" s="3">
        <v>0</v>
      </c>
      <c r="BC81" s="3">
        <v>0</v>
      </c>
      <c r="BD81" s="3">
        <v>1</v>
      </c>
      <c r="BE81" s="3">
        <v>0</v>
      </c>
      <c r="BF81" s="3">
        <v>1</v>
      </c>
      <c r="BG81" s="3">
        <v>0</v>
      </c>
      <c r="BH81" s="3">
        <v>0</v>
      </c>
      <c r="BI81" s="3">
        <v>1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1</v>
      </c>
      <c r="BQ81" s="3">
        <v>0</v>
      </c>
      <c r="BR81" s="3">
        <v>0</v>
      </c>
      <c r="BS81" s="3">
        <v>1</v>
      </c>
      <c r="BT81" s="3">
        <v>1</v>
      </c>
      <c r="BU81" s="3">
        <v>0</v>
      </c>
      <c r="BV81" s="3">
        <v>0</v>
      </c>
      <c r="BW81" s="3">
        <v>0</v>
      </c>
      <c r="BX81" s="3">
        <v>0</v>
      </c>
      <c r="BY81" s="4">
        <v>0</v>
      </c>
      <c r="BZ81" s="2">
        <v>0</v>
      </c>
      <c r="CA81" s="3">
        <v>0</v>
      </c>
      <c r="CB81" s="3">
        <v>1</v>
      </c>
      <c r="CC81" s="3">
        <v>0</v>
      </c>
      <c r="CD81" s="3">
        <v>0</v>
      </c>
      <c r="CE81" s="3">
        <v>0</v>
      </c>
      <c r="CF81" s="3">
        <v>1</v>
      </c>
      <c r="CG81" s="3">
        <v>0</v>
      </c>
      <c r="CH81" s="3">
        <v>0</v>
      </c>
      <c r="CI81" s="3">
        <v>1</v>
      </c>
      <c r="CJ81" s="3">
        <v>0</v>
      </c>
      <c r="CK81" s="3">
        <v>0</v>
      </c>
      <c r="CL81" s="3">
        <v>1</v>
      </c>
      <c r="CM81" s="3">
        <v>1</v>
      </c>
      <c r="CN81" s="3">
        <v>0</v>
      </c>
      <c r="CO81" s="3">
        <v>0</v>
      </c>
      <c r="CP81" s="3">
        <v>0</v>
      </c>
      <c r="CQ81" s="3">
        <v>1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1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4">
        <v>0</v>
      </c>
      <c r="DD81" s="19" t="s">
        <v>168</v>
      </c>
    </row>
    <row r="82" spans="1:108" x14ac:dyDescent="0.3">
      <c r="A82" s="2" t="s">
        <v>167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4">
        <v>0</v>
      </c>
      <c r="H82" s="2">
        <v>12</v>
      </c>
      <c r="I82" s="3">
        <v>180</v>
      </c>
      <c r="J82" s="3">
        <v>30</v>
      </c>
      <c r="K82" s="3">
        <v>0</v>
      </c>
      <c r="L82" s="4">
        <v>0</v>
      </c>
      <c r="N82" s="19">
        <v>4</v>
      </c>
      <c r="O82" s="19" t="s">
        <v>56</v>
      </c>
      <c r="P82" s="19">
        <v>420</v>
      </c>
      <c r="Q82" s="19">
        <v>341</v>
      </c>
      <c r="R82" s="19">
        <f t="shared" ref="R82:R142" si="2">P82-Q82</f>
        <v>79</v>
      </c>
      <c r="S82" s="19" t="s">
        <v>1</v>
      </c>
      <c r="BZ82" s="2">
        <v>0</v>
      </c>
      <c r="CA82" s="3">
        <v>1</v>
      </c>
      <c r="CB82" s="3">
        <v>1</v>
      </c>
      <c r="CC82" s="3">
        <v>0</v>
      </c>
      <c r="CD82" s="3">
        <v>0</v>
      </c>
      <c r="CE82" s="3">
        <v>0</v>
      </c>
      <c r="CF82" s="3">
        <v>1</v>
      </c>
      <c r="CG82" s="3">
        <v>0</v>
      </c>
      <c r="CH82" s="3">
        <v>0</v>
      </c>
      <c r="CI82" s="3">
        <v>1</v>
      </c>
      <c r="CJ82" s="3">
        <v>0</v>
      </c>
      <c r="CK82" s="3">
        <v>0</v>
      </c>
      <c r="CL82" s="3">
        <v>1</v>
      </c>
      <c r="CM82" s="3">
        <v>0</v>
      </c>
      <c r="CN82" s="3">
        <v>0</v>
      </c>
      <c r="CO82" s="3">
        <v>0</v>
      </c>
      <c r="CP82" s="3">
        <v>0</v>
      </c>
      <c r="CQ82" s="3">
        <v>1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4">
        <v>0</v>
      </c>
      <c r="DD82" s="19" t="s">
        <v>168</v>
      </c>
    </row>
    <row r="83" spans="1:108" x14ac:dyDescent="0.3">
      <c r="A83" s="2" t="s">
        <v>169</v>
      </c>
      <c r="B83" s="3">
        <v>1</v>
      </c>
      <c r="C83" s="3">
        <v>0</v>
      </c>
      <c r="D83" s="3">
        <v>0</v>
      </c>
      <c r="E83" s="3">
        <v>0</v>
      </c>
      <c r="F83" s="3">
        <v>0</v>
      </c>
      <c r="G83" s="4">
        <v>0</v>
      </c>
      <c r="H83" s="2">
        <v>5</v>
      </c>
      <c r="I83" s="3">
        <v>190</v>
      </c>
      <c r="J83" s="3">
        <v>0.8</v>
      </c>
      <c r="K83" s="3">
        <v>1</v>
      </c>
      <c r="L83" s="4">
        <v>0</v>
      </c>
      <c r="M83" s="19">
        <v>11.7</v>
      </c>
      <c r="N83" s="19">
        <v>2.54</v>
      </c>
      <c r="O83" s="19">
        <v>30</v>
      </c>
      <c r="P83" s="19">
        <v>450</v>
      </c>
      <c r="Q83" s="19">
        <v>340</v>
      </c>
      <c r="R83" s="19">
        <f t="shared" si="2"/>
        <v>110</v>
      </c>
      <c r="S83" s="19" t="s">
        <v>1</v>
      </c>
      <c r="T83" s="2">
        <v>0.40700000000000003</v>
      </c>
      <c r="U83" s="3">
        <v>0.41799999999999998</v>
      </c>
      <c r="V83" s="3">
        <v>1.2E-2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4">
        <v>0</v>
      </c>
      <c r="BZ83" s="2">
        <v>0</v>
      </c>
      <c r="CA83" s="3">
        <v>0</v>
      </c>
      <c r="CB83" s="3">
        <v>1</v>
      </c>
      <c r="CC83" s="3">
        <v>1</v>
      </c>
      <c r="CD83" s="3">
        <v>1</v>
      </c>
      <c r="CE83" s="3">
        <v>1</v>
      </c>
      <c r="CF83" s="3">
        <v>1</v>
      </c>
      <c r="CG83" s="3">
        <v>0</v>
      </c>
      <c r="CH83" s="3">
        <v>0</v>
      </c>
      <c r="CI83" s="3">
        <v>1</v>
      </c>
      <c r="CJ83" s="3">
        <v>0</v>
      </c>
      <c r="CK83" s="3">
        <v>1</v>
      </c>
      <c r="CL83" s="3">
        <v>1</v>
      </c>
      <c r="CM83" s="3">
        <v>0</v>
      </c>
      <c r="CN83" s="3">
        <v>0</v>
      </c>
      <c r="CO83" s="3">
        <v>0</v>
      </c>
      <c r="CP83" s="3">
        <v>0</v>
      </c>
      <c r="CQ83" s="3">
        <v>1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4">
        <v>0</v>
      </c>
      <c r="DD83" s="19" t="s">
        <v>170</v>
      </c>
    </row>
    <row r="84" spans="1:108" x14ac:dyDescent="0.3">
      <c r="A84" s="2" t="s">
        <v>171</v>
      </c>
      <c r="B84" s="6">
        <v>0</v>
      </c>
      <c r="C84" s="6">
        <v>0</v>
      </c>
      <c r="D84" s="6">
        <v>0</v>
      </c>
      <c r="E84" s="6">
        <v>0</v>
      </c>
      <c r="F84" s="3">
        <v>1</v>
      </c>
      <c r="G84" s="7">
        <v>0</v>
      </c>
      <c r="H84" s="2">
        <v>24</v>
      </c>
      <c r="I84" s="3">
        <v>180</v>
      </c>
      <c r="J84" s="3">
        <v>4</v>
      </c>
      <c r="K84" s="3" t="s">
        <v>56</v>
      </c>
      <c r="L84" s="4">
        <v>0</v>
      </c>
      <c r="M84" s="19">
        <v>14.81</v>
      </c>
      <c r="N84" s="19">
        <v>2.9</v>
      </c>
      <c r="O84" s="19" t="s">
        <v>56</v>
      </c>
      <c r="P84" s="19">
        <v>404</v>
      </c>
      <c r="Q84" s="19">
        <v>350</v>
      </c>
      <c r="R84" s="19">
        <f t="shared" si="2"/>
        <v>54</v>
      </c>
      <c r="S84" s="19" t="s">
        <v>1</v>
      </c>
      <c r="BZ84" s="2">
        <v>0</v>
      </c>
      <c r="CA84" s="3">
        <v>0</v>
      </c>
      <c r="CB84" s="3">
        <v>1</v>
      </c>
      <c r="CC84" s="3">
        <v>0</v>
      </c>
      <c r="CD84" s="3">
        <v>1</v>
      </c>
      <c r="CE84" s="3">
        <v>1</v>
      </c>
      <c r="CF84" s="3">
        <v>0</v>
      </c>
      <c r="CG84" s="3">
        <v>0</v>
      </c>
      <c r="CH84" s="3">
        <v>0</v>
      </c>
      <c r="CI84" s="3">
        <v>1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4">
        <v>0</v>
      </c>
      <c r="DD84" s="19" t="s">
        <v>172</v>
      </c>
    </row>
    <row r="85" spans="1:108" x14ac:dyDescent="0.3">
      <c r="A85" s="2" t="s">
        <v>173</v>
      </c>
      <c r="B85" s="3">
        <v>0</v>
      </c>
      <c r="C85" s="3">
        <v>1</v>
      </c>
      <c r="D85" s="3">
        <v>0</v>
      </c>
      <c r="E85" s="3">
        <v>0</v>
      </c>
      <c r="F85" s="3">
        <v>0</v>
      </c>
      <c r="G85" s="4">
        <v>0</v>
      </c>
      <c r="H85" s="2">
        <v>12</v>
      </c>
      <c r="I85" s="3">
        <v>200</v>
      </c>
      <c r="J85" s="3">
        <v>0.3</v>
      </c>
      <c r="K85" s="3">
        <v>60</v>
      </c>
      <c r="L85" s="4">
        <v>1</v>
      </c>
      <c r="M85" s="19" t="s">
        <v>56</v>
      </c>
      <c r="N85" s="19">
        <v>4.45</v>
      </c>
      <c r="O85" s="19">
        <v>2.2799999999999998</v>
      </c>
      <c r="P85" s="19">
        <v>460</v>
      </c>
      <c r="Q85" s="19">
        <v>340</v>
      </c>
      <c r="R85" s="19">
        <f t="shared" si="2"/>
        <v>120</v>
      </c>
      <c r="S85" s="19" t="s">
        <v>2</v>
      </c>
      <c r="T85" s="2">
        <v>0.3574</v>
      </c>
      <c r="U85" s="3">
        <v>0.53069999999999995</v>
      </c>
      <c r="V85" s="3">
        <v>0.1119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4">
        <v>0</v>
      </c>
      <c r="DD85" s="19" t="s">
        <v>174</v>
      </c>
    </row>
    <row r="86" spans="1:108" x14ac:dyDescent="0.3">
      <c r="A86" s="2" t="s">
        <v>173</v>
      </c>
      <c r="B86" s="3">
        <v>0</v>
      </c>
      <c r="C86" s="3">
        <v>1</v>
      </c>
      <c r="D86" s="3">
        <v>0</v>
      </c>
      <c r="E86" s="3">
        <v>0</v>
      </c>
      <c r="F86" s="3">
        <v>0</v>
      </c>
      <c r="G86" s="4">
        <v>0</v>
      </c>
      <c r="H86" s="2">
        <v>12</v>
      </c>
      <c r="I86" s="3">
        <v>200</v>
      </c>
      <c r="J86" s="3">
        <v>0.3</v>
      </c>
      <c r="K86" s="3">
        <v>60</v>
      </c>
      <c r="L86" s="4">
        <v>1</v>
      </c>
      <c r="M86" s="19" t="s">
        <v>56</v>
      </c>
      <c r="N86" s="19">
        <v>2.8</v>
      </c>
      <c r="O86" s="19">
        <v>8.61</v>
      </c>
      <c r="P86" s="19">
        <v>325</v>
      </c>
      <c r="Q86" s="19">
        <v>280</v>
      </c>
      <c r="R86" s="19">
        <f t="shared" si="2"/>
        <v>45</v>
      </c>
      <c r="S86" s="19" t="s">
        <v>1</v>
      </c>
      <c r="DD86" s="19" t="s">
        <v>174</v>
      </c>
    </row>
    <row r="87" spans="1:108" x14ac:dyDescent="0.3">
      <c r="A87" s="2" t="s">
        <v>175</v>
      </c>
      <c r="B87" s="3">
        <v>0</v>
      </c>
      <c r="C87" s="3">
        <v>1</v>
      </c>
      <c r="D87" s="3">
        <v>0</v>
      </c>
      <c r="E87" s="3">
        <v>0</v>
      </c>
      <c r="F87" s="3">
        <v>0</v>
      </c>
      <c r="G87" s="4">
        <v>0</v>
      </c>
      <c r="H87" s="2">
        <v>12</v>
      </c>
      <c r="I87" s="3">
        <v>220</v>
      </c>
      <c r="J87" s="3">
        <v>2</v>
      </c>
      <c r="K87" s="3">
        <v>20</v>
      </c>
      <c r="L87" s="4">
        <v>0</v>
      </c>
      <c r="M87" s="19" t="s">
        <v>56</v>
      </c>
      <c r="N87" s="19">
        <v>4.8</v>
      </c>
      <c r="O87" s="19" t="s">
        <v>56</v>
      </c>
      <c r="P87" s="19">
        <v>440</v>
      </c>
      <c r="Q87" s="19">
        <v>360</v>
      </c>
      <c r="R87" s="19">
        <f t="shared" si="2"/>
        <v>80</v>
      </c>
      <c r="S87" s="19" t="s">
        <v>1</v>
      </c>
      <c r="T87" s="2">
        <v>0.76730000000000009</v>
      </c>
      <c r="U87" s="3">
        <v>0.17430000000000001</v>
      </c>
      <c r="V87" s="3">
        <v>5.8400000000000001E-2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4">
        <v>0</v>
      </c>
      <c r="AM87" s="2">
        <v>1</v>
      </c>
      <c r="AN87" s="3">
        <v>0</v>
      </c>
      <c r="AO87" s="3">
        <v>1</v>
      </c>
      <c r="AP87" s="3">
        <v>1</v>
      </c>
      <c r="AQ87" s="3">
        <v>1</v>
      </c>
      <c r="AR87" s="3">
        <v>1</v>
      </c>
      <c r="AS87" s="3">
        <v>0</v>
      </c>
      <c r="AT87" s="3">
        <v>1</v>
      </c>
      <c r="AU87" s="3">
        <v>0</v>
      </c>
      <c r="AV87" s="3">
        <v>1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1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1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4">
        <v>0</v>
      </c>
      <c r="BZ87" s="2">
        <v>1</v>
      </c>
      <c r="CA87" s="3">
        <v>0</v>
      </c>
      <c r="CB87" s="3">
        <v>1</v>
      </c>
      <c r="CC87" s="3">
        <v>0</v>
      </c>
      <c r="CD87" s="3">
        <v>1</v>
      </c>
      <c r="CE87" s="3">
        <v>1</v>
      </c>
      <c r="CF87" s="3">
        <v>1</v>
      </c>
      <c r="CG87" s="3">
        <v>0</v>
      </c>
      <c r="CH87" s="3">
        <v>0</v>
      </c>
      <c r="CI87" s="3">
        <v>1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1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4">
        <v>0</v>
      </c>
      <c r="DD87" s="19" t="s">
        <v>176</v>
      </c>
    </row>
    <row r="88" spans="1:108" x14ac:dyDescent="0.3">
      <c r="A88" s="2" t="s">
        <v>177</v>
      </c>
      <c r="B88" s="3">
        <v>0</v>
      </c>
      <c r="C88" s="3">
        <v>1</v>
      </c>
      <c r="D88" s="3">
        <v>0</v>
      </c>
      <c r="E88" s="3">
        <v>0</v>
      </c>
      <c r="F88" s="3">
        <v>0</v>
      </c>
      <c r="G88" s="4">
        <v>0</v>
      </c>
      <c r="H88" s="2">
        <v>1</v>
      </c>
      <c r="I88" s="3">
        <v>160</v>
      </c>
      <c r="J88" s="3">
        <v>5</v>
      </c>
      <c r="K88" s="3">
        <v>50</v>
      </c>
      <c r="L88" s="4">
        <v>1</v>
      </c>
      <c r="N88" s="19">
        <v>5.5</v>
      </c>
      <c r="O88" s="19">
        <v>34</v>
      </c>
      <c r="P88" s="19">
        <v>530</v>
      </c>
      <c r="Q88" s="19">
        <v>360</v>
      </c>
      <c r="R88" s="19">
        <f t="shared" si="2"/>
        <v>170</v>
      </c>
      <c r="S88" s="19" t="s">
        <v>2</v>
      </c>
      <c r="T88" s="2">
        <v>0.18859999999999999</v>
      </c>
      <c r="U88" s="3">
        <v>0.62409999999999999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4">
        <v>0.18729999999999999</v>
      </c>
      <c r="BZ88" s="2">
        <v>0</v>
      </c>
      <c r="CA88" s="3">
        <v>0</v>
      </c>
      <c r="CB88" s="3">
        <v>0</v>
      </c>
      <c r="CC88" s="3">
        <v>1</v>
      </c>
      <c r="CD88" s="3">
        <v>1</v>
      </c>
      <c r="CE88" s="3">
        <v>0</v>
      </c>
      <c r="CF88" s="3">
        <v>1</v>
      </c>
      <c r="CG88" s="3">
        <v>0</v>
      </c>
      <c r="CH88" s="3">
        <v>0</v>
      </c>
      <c r="CI88" s="3">
        <v>1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1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4">
        <v>0</v>
      </c>
      <c r="DD88" s="19" t="s">
        <v>178</v>
      </c>
    </row>
    <row r="89" spans="1:108" x14ac:dyDescent="0.3">
      <c r="A89" s="2" t="s">
        <v>179</v>
      </c>
      <c r="B89" s="6">
        <v>0</v>
      </c>
      <c r="C89" s="6">
        <v>0</v>
      </c>
      <c r="D89" s="6">
        <v>0</v>
      </c>
      <c r="E89" s="6">
        <v>0</v>
      </c>
      <c r="F89" s="3">
        <v>1</v>
      </c>
      <c r="G89" s="7">
        <v>0</v>
      </c>
      <c r="H89" s="2">
        <v>3</v>
      </c>
      <c r="I89" s="3">
        <v>200</v>
      </c>
      <c r="J89" s="3">
        <v>6</v>
      </c>
      <c r="K89" s="3">
        <v>100</v>
      </c>
      <c r="L89" s="4">
        <v>0</v>
      </c>
      <c r="N89" s="19">
        <v>4.7</v>
      </c>
      <c r="O89" s="19">
        <v>8</v>
      </c>
      <c r="P89" s="19">
        <v>415</v>
      </c>
      <c r="Q89" s="19">
        <v>340</v>
      </c>
      <c r="R89" s="19">
        <f t="shared" si="2"/>
        <v>75</v>
      </c>
      <c r="S89" s="19" t="s">
        <v>1</v>
      </c>
      <c r="T89" s="2">
        <v>0.52200000000000002</v>
      </c>
      <c r="U89" s="3">
        <v>0.42899999999999999</v>
      </c>
      <c r="V89" s="3">
        <v>2.6000000000000002E-2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2.2000000000000002E-2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4">
        <v>0</v>
      </c>
      <c r="AM89" s="2">
        <v>1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0</v>
      </c>
      <c r="AT89" s="3">
        <v>1</v>
      </c>
      <c r="AU89" s="3">
        <v>1</v>
      </c>
      <c r="AV89" s="3">
        <v>1</v>
      </c>
      <c r="AW89" s="3">
        <v>1</v>
      </c>
      <c r="AX89" s="3">
        <v>1</v>
      </c>
      <c r="AY89" s="3">
        <v>1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1</v>
      </c>
      <c r="BV89" s="3">
        <v>1</v>
      </c>
      <c r="BW89" s="3">
        <v>0</v>
      </c>
      <c r="BX89" s="3">
        <v>0</v>
      </c>
      <c r="BY89" s="4">
        <v>0</v>
      </c>
      <c r="BZ89" s="2">
        <v>0</v>
      </c>
      <c r="CA89" s="3">
        <v>0</v>
      </c>
      <c r="CB89" s="3">
        <v>1</v>
      </c>
      <c r="CC89" s="3">
        <v>1</v>
      </c>
      <c r="CD89" s="3">
        <v>1</v>
      </c>
      <c r="CE89" s="3">
        <v>1</v>
      </c>
      <c r="CF89" s="3">
        <v>1</v>
      </c>
      <c r="CG89" s="3">
        <v>0</v>
      </c>
      <c r="CH89" s="3">
        <v>0</v>
      </c>
      <c r="CI89" s="3">
        <v>1</v>
      </c>
      <c r="CJ89" s="3">
        <v>0</v>
      </c>
      <c r="CK89" s="3">
        <v>0</v>
      </c>
      <c r="CL89" s="3">
        <v>1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1</v>
      </c>
      <c r="CY89" s="3">
        <v>0</v>
      </c>
      <c r="CZ89" s="3">
        <v>0</v>
      </c>
      <c r="DA89" s="3">
        <v>0</v>
      </c>
      <c r="DB89" s="3">
        <v>0</v>
      </c>
      <c r="DC89" s="4">
        <v>0</v>
      </c>
      <c r="DD89" s="19" t="s">
        <v>180</v>
      </c>
    </row>
    <row r="90" spans="1:108" x14ac:dyDescent="0.3">
      <c r="A90" s="2" t="s">
        <v>181</v>
      </c>
      <c r="B90" s="3">
        <v>1</v>
      </c>
      <c r="C90" s="3">
        <v>0</v>
      </c>
      <c r="D90" s="3">
        <v>0</v>
      </c>
      <c r="E90" s="3">
        <v>0</v>
      </c>
      <c r="F90" s="3">
        <v>0</v>
      </c>
      <c r="G90" s="4">
        <v>0</v>
      </c>
      <c r="H90" s="2">
        <v>12</v>
      </c>
      <c r="I90" s="3">
        <v>180</v>
      </c>
      <c r="J90" s="3">
        <v>29</v>
      </c>
      <c r="K90" s="3">
        <v>0</v>
      </c>
      <c r="L90" s="4">
        <v>1</v>
      </c>
      <c r="N90" s="19">
        <v>2.5</v>
      </c>
      <c r="O90" s="19" t="s">
        <v>56</v>
      </c>
      <c r="P90" s="19">
        <v>400</v>
      </c>
      <c r="Q90" s="19">
        <v>320</v>
      </c>
      <c r="R90" s="19">
        <f t="shared" si="2"/>
        <v>80</v>
      </c>
      <c r="S90" s="19" t="s">
        <v>1</v>
      </c>
      <c r="T90" s="2">
        <v>0.6765000000000001</v>
      </c>
      <c r="U90" s="3">
        <v>0.26530000000000004</v>
      </c>
      <c r="V90" s="3">
        <v>5.8200000000000002E-2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4">
        <v>0</v>
      </c>
      <c r="BZ90" s="2">
        <v>0</v>
      </c>
      <c r="CA90" s="3">
        <v>0</v>
      </c>
      <c r="CB90" s="3">
        <v>0</v>
      </c>
      <c r="CC90" s="3">
        <v>0</v>
      </c>
      <c r="CD90" s="3">
        <v>1</v>
      </c>
      <c r="CE90" s="3">
        <v>0</v>
      </c>
      <c r="CF90" s="3">
        <v>1</v>
      </c>
      <c r="CG90" s="3">
        <v>0</v>
      </c>
      <c r="CH90" s="3">
        <v>0</v>
      </c>
      <c r="CI90" s="3">
        <v>1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1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4">
        <v>0</v>
      </c>
      <c r="DD90" s="19" t="s">
        <v>182</v>
      </c>
    </row>
    <row r="91" spans="1:108" x14ac:dyDescent="0.3">
      <c r="A91" s="2" t="s">
        <v>183</v>
      </c>
      <c r="B91" s="6">
        <v>0</v>
      </c>
      <c r="C91" s="6">
        <v>0</v>
      </c>
      <c r="D91" s="6">
        <v>0</v>
      </c>
      <c r="E91" s="6">
        <v>0</v>
      </c>
      <c r="F91" s="3">
        <v>1</v>
      </c>
      <c r="G91" s="7">
        <v>0</v>
      </c>
      <c r="H91" s="2">
        <v>24</v>
      </c>
      <c r="I91" s="3">
        <v>200</v>
      </c>
      <c r="J91" s="3">
        <v>0.04</v>
      </c>
      <c r="K91" s="3">
        <v>40</v>
      </c>
      <c r="L91" s="4">
        <v>1</v>
      </c>
      <c r="N91" s="19">
        <v>4.5</v>
      </c>
      <c r="O91" s="19" t="s">
        <v>56</v>
      </c>
      <c r="P91" s="19">
        <v>450</v>
      </c>
      <c r="Q91" s="19">
        <v>380</v>
      </c>
      <c r="R91" s="19">
        <f t="shared" si="2"/>
        <v>70</v>
      </c>
      <c r="S91" s="19" t="s">
        <v>1</v>
      </c>
      <c r="AM91" s="2">
        <v>0</v>
      </c>
      <c r="AN91" s="3">
        <v>0</v>
      </c>
      <c r="AO91" s="3">
        <v>1</v>
      </c>
      <c r="AP91" s="3">
        <v>1</v>
      </c>
      <c r="AQ91" s="3">
        <v>0</v>
      </c>
      <c r="AR91" s="3">
        <v>1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4">
        <v>0</v>
      </c>
      <c r="DD91" s="19" t="s">
        <v>184</v>
      </c>
    </row>
    <row r="92" spans="1:108" x14ac:dyDescent="0.3">
      <c r="A92" s="2" t="s">
        <v>185</v>
      </c>
      <c r="B92" s="3">
        <v>1</v>
      </c>
      <c r="C92" s="3">
        <v>0</v>
      </c>
      <c r="D92" s="3">
        <v>0</v>
      </c>
      <c r="E92" s="3">
        <v>0</v>
      </c>
      <c r="F92" s="3">
        <v>0</v>
      </c>
      <c r="G92" s="4">
        <v>0</v>
      </c>
      <c r="H92" s="2">
        <v>6</v>
      </c>
      <c r="I92" s="3">
        <v>180</v>
      </c>
      <c r="J92" s="3">
        <v>25</v>
      </c>
      <c r="K92" s="3">
        <v>0</v>
      </c>
      <c r="L92" s="4">
        <v>0</v>
      </c>
      <c r="N92" s="19">
        <v>5</v>
      </c>
      <c r="O92" s="19">
        <v>9</v>
      </c>
      <c r="P92" s="19">
        <v>425</v>
      </c>
      <c r="Q92" s="19">
        <v>340</v>
      </c>
      <c r="R92" s="19">
        <f t="shared" si="2"/>
        <v>85</v>
      </c>
      <c r="S92" s="19" t="s">
        <v>1</v>
      </c>
      <c r="T92" s="2">
        <v>0.7793000000000001</v>
      </c>
      <c r="U92" s="3">
        <v>0.16769999999999999</v>
      </c>
      <c r="V92" s="3">
        <v>5.2999999999999999E-2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4">
        <v>0</v>
      </c>
      <c r="AM92" s="2">
        <v>1</v>
      </c>
      <c r="AN92" s="3">
        <v>0</v>
      </c>
      <c r="AO92" s="3">
        <v>1</v>
      </c>
      <c r="AP92" s="3">
        <v>1</v>
      </c>
      <c r="AQ92" s="3">
        <v>1</v>
      </c>
      <c r="AR92" s="3">
        <v>1</v>
      </c>
      <c r="AS92" s="3">
        <v>0</v>
      </c>
      <c r="AT92" s="3">
        <v>1</v>
      </c>
      <c r="AU92" s="3">
        <v>0</v>
      </c>
      <c r="AV92" s="3">
        <v>1</v>
      </c>
      <c r="AW92" s="3">
        <v>0</v>
      </c>
      <c r="AX92" s="3">
        <v>0</v>
      </c>
      <c r="AY92" s="3">
        <v>1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1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4">
        <v>0</v>
      </c>
      <c r="BZ92" s="2">
        <v>0</v>
      </c>
      <c r="CA92" s="3">
        <v>0</v>
      </c>
      <c r="CB92" s="3">
        <v>0</v>
      </c>
      <c r="CC92" s="3">
        <v>1</v>
      </c>
      <c r="CD92" s="3">
        <v>1</v>
      </c>
      <c r="CE92" s="3">
        <v>0</v>
      </c>
      <c r="CF92" s="3">
        <v>1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1</v>
      </c>
      <c r="CM92" s="3">
        <v>0</v>
      </c>
      <c r="CN92" s="3">
        <v>0</v>
      </c>
      <c r="CO92" s="3">
        <v>0</v>
      </c>
      <c r="CP92" s="3">
        <v>0</v>
      </c>
      <c r="CQ92" s="3">
        <v>1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4">
        <v>0</v>
      </c>
      <c r="DD92" s="19" t="s">
        <v>186</v>
      </c>
    </row>
    <row r="93" spans="1:108" x14ac:dyDescent="0.3">
      <c r="A93" s="2" t="s">
        <v>187</v>
      </c>
      <c r="B93" s="3">
        <v>0</v>
      </c>
      <c r="C93" s="3">
        <v>1</v>
      </c>
      <c r="D93" s="3">
        <v>0</v>
      </c>
      <c r="E93" s="3">
        <v>0</v>
      </c>
      <c r="F93" s="3">
        <v>0</v>
      </c>
      <c r="G93" s="4">
        <v>0</v>
      </c>
      <c r="H93" s="2">
        <v>5</v>
      </c>
      <c r="I93" s="3">
        <v>180</v>
      </c>
      <c r="J93" s="3">
        <v>1</v>
      </c>
      <c r="K93" s="3">
        <v>30</v>
      </c>
      <c r="L93" s="4">
        <v>1</v>
      </c>
      <c r="N93" s="19">
        <v>3.3</v>
      </c>
      <c r="O93" s="19">
        <v>17.2</v>
      </c>
      <c r="P93" s="19">
        <v>430</v>
      </c>
      <c r="Q93" s="19">
        <v>350</v>
      </c>
      <c r="R93" s="19">
        <f t="shared" si="2"/>
        <v>80</v>
      </c>
      <c r="S93" s="19" t="s">
        <v>1</v>
      </c>
      <c r="T93" s="2">
        <v>0.46399999999999997</v>
      </c>
      <c r="U93" s="3">
        <v>0.39399999999999996</v>
      </c>
      <c r="V93" s="3">
        <v>8.4000000000000005E-2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4">
        <v>0</v>
      </c>
      <c r="AM93" s="2">
        <v>0</v>
      </c>
      <c r="AN93" s="3">
        <v>0</v>
      </c>
      <c r="AO93" s="3">
        <v>1</v>
      </c>
      <c r="AP93" s="3">
        <v>1</v>
      </c>
      <c r="AQ93" s="3">
        <v>1</v>
      </c>
      <c r="AR93" s="3">
        <v>1</v>
      </c>
      <c r="AS93" s="3">
        <v>0</v>
      </c>
      <c r="AT93" s="3">
        <v>1</v>
      </c>
      <c r="AU93" s="3">
        <v>0</v>
      </c>
      <c r="AV93" s="3">
        <v>1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1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4">
        <v>0</v>
      </c>
      <c r="BZ93" s="2">
        <v>0</v>
      </c>
      <c r="CA93" s="3">
        <v>0</v>
      </c>
      <c r="CB93" s="3">
        <v>1</v>
      </c>
      <c r="CC93" s="3">
        <v>0</v>
      </c>
      <c r="CD93" s="3">
        <v>1</v>
      </c>
      <c r="CE93" s="3">
        <v>1</v>
      </c>
      <c r="CF93" s="3">
        <v>1</v>
      </c>
      <c r="CG93" s="3">
        <v>0</v>
      </c>
      <c r="CH93" s="3">
        <v>0</v>
      </c>
      <c r="CI93" s="3">
        <v>1</v>
      </c>
      <c r="CJ93" s="3">
        <v>0</v>
      </c>
      <c r="CK93" s="3">
        <v>0</v>
      </c>
      <c r="CL93" s="3">
        <v>1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4">
        <v>0</v>
      </c>
      <c r="DD93" s="19" t="s">
        <v>188</v>
      </c>
    </row>
    <row r="94" spans="1:108" x14ac:dyDescent="0.3">
      <c r="A94" s="2" t="s">
        <v>189</v>
      </c>
      <c r="B94" s="3">
        <v>1</v>
      </c>
      <c r="C94" s="3">
        <v>0</v>
      </c>
      <c r="D94" s="3">
        <v>0</v>
      </c>
      <c r="E94" s="3">
        <v>0</v>
      </c>
      <c r="F94" s="3">
        <v>0</v>
      </c>
      <c r="G94" s="4">
        <v>0</v>
      </c>
      <c r="H94" s="2">
        <v>12</v>
      </c>
      <c r="I94" s="3">
        <v>150</v>
      </c>
      <c r="J94" s="3">
        <v>500</v>
      </c>
      <c r="K94" s="3">
        <v>500</v>
      </c>
      <c r="L94" s="4">
        <v>0</v>
      </c>
      <c r="N94" s="19">
        <v>4.5</v>
      </c>
      <c r="O94" s="19">
        <v>4.2699999999999996</v>
      </c>
      <c r="P94" s="19">
        <v>475</v>
      </c>
      <c r="Q94" s="19">
        <v>368</v>
      </c>
      <c r="R94" s="19">
        <f t="shared" si="2"/>
        <v>107</v>
      </c>
      <c r="S94" s="19" t="s">
        <v>1</v>
      </c>
      <c r="BZ94" s="2">
        <v>0</v>
      </c>
      <c r="CA94" s="3">
        <v>0</v>
      </c>
      <c r="CB94" s="3">
        <v>1</v>
      </c>
      <c r="CC94" s="3">
        <v>1</v>
      </c>
      <c r="CD94" s="3">
        <v>1</v>
      </c>
      <c r="CE94" s="3">
        <v>0</v>
      </c>
      <c r="CF94" s="3">
        <v>1</v>
      </c>
      <c r="CG94" s="3">
        <v>0</v>
      </c>
      <c r="CH94" s="3">
        <v>0</v>
      </c>
      <c r="CI94" s="3">
        <v>1</v>
      </c>
      <c r="CJ94" s="3">
        <v>0</v>
      </c>
      <c r="CK94" s="3">
        <v>0</v>
      </c>
      <c r="CL94" s="3">
        <v>1</v>
      </c>
      <c r="CM94" s="3">
        <v>0</v>
      </c>
      <c r="CN94" s="3">
        <v>0</v>
      </c>
      <c r="CO94" s="3">
        <v>0</v>
      </c>
      <c r="CP94" s="3">
        <v>0</v>
      </c>
      <c r="CQ94" s="3">
        <v>1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4">
        <v>0</v>
      </c>
      <c r="DD94" s="19" t="s">
        <v>190</v>
      </c>
    </row>
    <row r="95" spans="1:108" x14ac:dyDescent="0.3">
      <c r="A95" s="2" t="s">
        <v>191</v>
      </c>
      <c r="B95" s="6">
        <v>0</v>
      </c>
      <c r="C95" s="6">
        <v>0</v>
      </c>
      <c r="D95" s="6">
        <v>1</v>
      </c>
      <c r="E95" s="6">
        <v>0</v>
      </c>
      <c r="F95" s="6">
        <v>0</v>
      </c>
      <c r="G95" s="7">
        <v>0</v>
      </c>
      <c r="H95" s="2">
        <v>12</v>
      </c>
      <c r="I95" s="3">
        <v>200</v>
      </c>
      <c r="J95" s="3">
        <v>2</v>
      </c>
      <c r="K95" s="3">
        <v>23</v>
      </c>
      <c r="L95" s="4">
        <v>0</v>
      </c>
      <c r="N95" s="19">
        <v>2.2200000000000002</v>
      </c>
      <c r="O95" s="19" t="s">
        <v>56</v>
      </c>
      <c r="P95" s="19">
        <v>460</v>
      </c>
      <c r="Q95" s="19">
        <v>360</v>
      </c>
      <c r="R95" s="19">
        <f t="shared" si="2"/>
        <v>100</v>
      </c>
      <c r="T95" s="2">
        <v>0.60399999999999998</v>
      </c>
      <c r="U95" s="3">
        <v>0.34600000000000003</v>
      </c>
      <c r="V95" s="3">
        <v>3.7999999999999999E-2</v>
      </c>
      <c r="W95" s="3">
        <v>0</v>
      </c>
      <c r="X95" s="3">
        <v>0</v>
      </c>
      <c r="Y95" s="3">
        <v>1.2E-2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4">
        <v>0</v>
      </c>
      <c r="AM95" s="2">
        <v>0</v>
      </c>
      <c r="AN95" s="3">
        <v>0</v>
      </c>
      <c r="AO95" s="3">
        <v>1</v>
      </c>
      <c r="AP95" s="3">
        <v>1</v>
      </c>
      <c r="AQ95" s="3">
        <v>1</v>
      </c>
      <c r="AR95" s="3">
        <v>1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1</v>
      </c>
      <c r="AZ95" s="3">
        <v>1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1</v>
      </c>
      <c r="BG95" s="3">
        <v>0</v>
      </c>
      <c r="BH95" s="3">
        <v>0</v>
      </c>
      <c r="BI95" s="3">
        <v>1</v>
      </c>
      <c r="BJ95" s="3">
        <v>0</v>
      </c>
      <c r="BK95" s="3">
        <v>1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1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4">
        <v>0</v>
      </c>
      <c r="BZ95" s="2">
        <v>0</v>
      </c>
      <c r="CA95" s="3">
        <v>0</v>
      </c>
      <c r="CB95" s="3">
        <v>1</v>
      </c>
      <c r="CC95" s="3">
        <v>0</v>
      </c>
      <c r="CD95" s="3">
        <v>0</v>
      </c>
      <c r="CE95" s="3">
        <v>1</v>
      </c>
      <c r="CF95" s="3">
        <v>1</v>
      </c>
      <c r="CG95" s="3">
        <v>0</v>
      </c>
      <c r="CH95" s="3">
        <v>0</v>
      </c>
      <c r="CI95" s="3">
        <v>1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1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1</v>
      </c>
      <c r="CZ95" s="3">
        <v>0</v>
      </c>
      <c r="DA95" s="3">
        <v>0</v>
      </c>
      <c r="DB95" s="3">
        <v>0</v>
      </c>
      <c r="DC95" s="4">
        <v>0</v>
      </c>
      <c r="DD95" s="19" t="s">
        <v>192</v>
      </c>
    </row>
    <row r="96" spans="1:108" x14ac:dyDescent="0.3">
      <c r="A96" s="2" t="s">
        <v>193</v>
      </c>
      <c r="B96" s="3">
        <v>1</v>
      </c>
      <c r="C96" s="3">
        <v>0</v>
      </c>
      <c r="D96" s="3">
        <v>0</v>
      </c>
      <c r="E96" s="3">
        <v>0</v>
      </c>
      <c r="F96" s="3">
        <v>0</v>
      </c>
      <c r="G96" s="4">
        <v>0</v>
      </c>
      <c r="H96" s="2">
        <v>3</v>
      </c>
      <c r="I96" s="3">
        <v>180</v>
      </c>
      <c r="J96" s="3">
        <v>5</v>
      </c>
      <c r="K96" s="3">
        <v>50</v>
      </c>
      <c r="L96" s="4">
        <v>1</v>
      </c>
      <c r="M96" s="19">
        <v>7.84</v>
      </c>
      <c r="N96" s="19">
        <v>5</v>
      </c>
      <c r="O96" s="19">
        <v>33.15</v>
      </c>
      <c r="P96" s="19">
        <v>450</v>
      </c>
      <c r="Q96" s="19">
        <v>360</v>
      </c>
      <c r="R96" s="19">
        <f t="shared" si="2"/>
        <v>90</v>
      </c>
      <c r="S96" s="19" t="s">
        <v>1</v>
      </c>
      <c r="T96" s="2">
        <v>0.66180000000000005</v>
      </c>
      <c r="U96" s="3">
        <v>0.21190000000000001</v>
      </c>
      <c r="V96" s="3">
        <v>0.1263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4">
        <v>0</v>
      </c>
      <c r="AM96" s="2">
        <v>1</v>
      </c>
      <c r="AN96" s="3">
        <v>0</v>
      </c>
      <c r="AO96" s="3">
        <v>1</v>
      </c>
      <c r="AP96" s="3">
        <v>1</v>
      </c>
      <c r="AQ96" s="3">
        <v>1</v>
      </c>
      <c r="AR96" s="3">
        <v>1</v>
      </c>
      <c r="AS96" s="3">
        <v>0</v>
      </c>
      <c r="AT96" s="3">
        <v>1</v>
      </c>
      <c r="AU96" s="3">
        <v>0</v>
      </c>
      <c r="AV96" s="3">
        <v>1</v>
      </c>
      <c r="AW96" s="3">
        <v>0</v>
      </c>
      <c r="AX96" s="3">
        <v>0</v>
      </c>
      <c r="AY96" s="3">
        <v>1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1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4">
        <v>0</v>
      </c>
      <c r="BZ96" s="2">
        <v>0</v>
      </c>
      <c r="CA96" s="3">
        <v>0</v>
      </c>
      <c r="CB96" s="3">
        <v>1</v>
      </c>
      <c r="CC96" s="3">
        <v>1</v>
      </c>
      <c r="CD96" s="3">
        <v>1</v>
      </c>
      <c r="CE96" s="3">
        <v>1</v>
      </c>
      <c r="CF96" s="3">
        <v>1</v>
      </c>
      <c r="CG96" s="3">
        <v>0</v>
      </c>
      <c r="CH96" s="3">
        <v>0</v>
      </c>
      <c r="CI96" s="3">
        <v>1</v>
      </c>
      <c r="CJ96" s="3">
        <v>0</v>
      </c>
      <c r="CK96" s="3">
        <v>0</v>
      </c>
      <c r="CL96" s="3">
        <v>1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4">
        <v>0</v>
      </c>
      <c r="DD96" s="19" t="s">
        <v>194</v>
      </c>
    </row>
    <row r="97" spans="1:108" x14ac:dyDescent="0.3">
      <c r="A97" s="2" t="s">
        <v>195</v>
      </c>
      <c r="B97" s="6">
        <v>0</v>
      </c>
      <c r="C97" s="6">
        <v>0</v>
      </c>
      <c r="D97" s="6">
        <v>1</v>
      </c>
      <c r="E97" s="6">
        <v>0</v>
      </c>
      <c r="F97" s="6">
        <v>0</v>
      </c>
      <c r="G97" s="7">
        <v>0</v>
      </c>
      <c r="H97" s="2">
        <v>5</v>
      </c>
      <c r="I97" s="3">
        <v>200</v>
      </c>
      <c r="J97" s="3">
        <v>5</v>
      </c>
      <c r="K97" s="3">
        <v>40</v>
      </c>
      <c r="L97" s="4">
        <v>0</v>
      </c>
      <c r="N97" s="19">
        <v>2.9</v>
      </c>
      <c r="O97" s="19" t="s">
        <v>56</v>
      </c>
      <c r="P97" s="19">
        <v>438</v>
      </c>
      <c r="Q97" s="19">
        <v>360</v>
      </c>
      <c r="R97" s="19">
        <f t="shared" si="2"/>
        <v>78</v>
      </c>
      <c r="S97" s="19" t="s">
        <v>1</v>
      </c>
      <c r="BZ97" s="2">
        <v>0</v>
      </c>
      <c r="CA97" s="3">
        <v>0</v>
      </c>
      <c r="CB97" s="3">
        <v>1</v>
      </c>
      <c r="CC97" s="3">
        <v>1</v>
      </c>
      <c r="CD97" s="3">
        <v>1</v>
      </c>
      <c r="CE97" s="3">
        <v>1</v>
      </c>
      <c r="CF97" s="3">
        <v>1</v>
      </c>
      <c r="CG97" s="3">
        <v>0</v>
      </c>
      <c r="CH97" s="3">
        <v>0</v>
      </c>
      <c r="CI97" s="3">
        <v>1</v>
      </c>
      <c r="CJ97" s="3">
        <v>0</v>
      </c>
      <c r="CK97" s="3">
        <v>0</v>
      </c>
      <c r="CL97" s="3">
        <v>1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4">
        <v>0</v>
      </c>
      <c r="DD97" s="19" t="s">
        <v>196</v>
      </c>
    </row>
    <row r="98" spans="1:108" x14ac:dyDescent="0.3">
      <c r="A98" s="2" t="s">
        <v>197</v>
      </c>
      <c r="B98" s="6">
        <v>0</v>
      </c>
      <c r="C98" s="6">
        <v>0</v>
      </c>
      <c r="D98" s="6">
        <v>1</v>
      </c>
      <c r="E98" s="6">
        <v>0</v>
      </c>
      <c r="F98" s="6">
        <v>0</v>
      </c>
      <c r="G98" s="7">
        <v>0</v>
      </c>
      <c r="H98" s="2">
        <v>5</v>
      </c>
      <c r="I98" s="3">
        <v>200</v>
      </c>
      <c r="J98" s="3">
        <v>5</v>
      </c>
      <c r="K98" s="3">
        <v>40</v>
      </c>
      <c r="L98" s="4">
        <v>0</v>
      </c>
      <c r="N98" s="19">
        <v>3.8</v>
      </c>
      <c r="O98" s="19" t="s">
        <v>56</v>
      </c>
      <c r="P98" s="19">
        <v>446</v>
      </c>
      <c r="Q98" s="19">
        <v>360</v>
      </c>
      <c r="R98" s="19">
        <f t="shared" si="2"/>
        <v>86</v>
      </c>
      <c r="S98" s="19" t="s">
        <v>1</v>
      </c>
      <c r="BZ98" s="2">
        <v>0</v>
      </c>
      <c r="CA98" s="3">
        <v>0</v>
      </c>
      <c r="CB98" s="3">
        <v>1</v>
      </c>
      <c r="CC98" s="3">
        <v>1</v>
      </c>
      <c r="CD98" s="3">
        <v>1</v>
      </c>
      <c r="CE98" s="3">
        <v>1</v>
      </c>
      <c r="CF98" s="3">
        <v>1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1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4">
        <v>0</v>
      </c>
      <c r="DD98" s="19" t="s">
        <v>196</v>
      </c>
    </row>
    <row r="99" spans="1:108" x14ac:dyDescent="0.3">
      <c r="A99" s="2" t="s">
        <v>198</v>
      </c>
      <c r="B99" s="6">
        <v>0</v>
      </c>
      <c r="C99" s="6">
        <v>0</v>
      </c>
      <c r="D99" s="6">
        <v>1</v>
      </c>
      <c r="E99" s="6">
        <v>0</v>
      </c>
      <c r="F99" s="6">
        <v>0</v>
      </c>
      <c r="G99" s="7">
        <v>0</v>
      </c>
      <c r="H99" s="2">
        <v>4</v>
      </c>
      <c r="I99" s="3">
        <v>180</v>
      </c>
      <c r="J99" s="3">
        <v>10</v>
      </c>
      <c r="K99" s="3">
        <v>30</v>
      </c>
      <c r="L99" s="4">
        <v>0</v>
      </c>
      <c r="N99" s="19">
        <v>2.39</v>
      </c>
      <c r="O99" s="19">
        <v>9.3000000000000007</v>
      </c>
      <c r="P99" s="19">
        <v>500</v>
      </c>
      <c r="Q99" s="19">
        <v>450</v>
      </c>
      <c r="R99" s="19">
        <f t="shared" si="2"/>
        <v>50</v>
      </c>
      <c r="S99" s="19" t="s">
        <v>2</v>
      </c>
      <c r="T99" s="2">
        <v>0.52780000000000005</v>
      </c>
      <c r="U99" s="3">
        <v>0.183</v>
      </c>
      <c r="V99" s="3">
        <v>9.4800000000000009E-2</v>
      </c>
      <c r="W99" s="3">
        <v>0.19370000000000001</v>
      </c>
      <c r="X99" s="3">
        <v>7.000000000000001E-4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4">
        <v>0</v>
      </c>
      <c r="BZ99" s="2">
        <v>0</v>
      </c>
      <c r="CA99" s="3">
        <v>0</v>
      </c>
      <c r="CB99" s="3">
        <v>1</v>
      </c>
      <c r="CC99" s="3">
        <v>0</v>
      </c>
      <c r="CD99" s="3">
        <v>1</v>
      </c>
      <c r="CE99" s="3">
        <v>1</v>
      </c>
      <c r="CF99" s="3">
        <v>1</v>
      </c>
      <c r="CG99" s="3">
        <v>0</v>
      </c>
      <c r="CH99" s="3">
        <v>0</v>
      </c>
      <c r="CI99" s="3">
        <v>1</v>
      </c>
      <c r="CJ99" s="3">
        <v>0</v>
      </c>
      <c r="CK99" s="3">
        <v>0</v>
      </c>
      <c r="CL99" s="3">
        <v>1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4">
        <v>0</v>
      </c>
      <c r="DD99" s="19" t="s">
        <v>65</v>
      </c>
    </row>
    <row r="100" spans="1:108" x14ac:dyDescent="0.3">
      <c r="A100" s="2" t="s">
        <v>199</v>
      </c>
      <c r="B100" s="6">
        <v>0</v>
      </c>
      <c r="C100" s="6">
        <v>0</v>
      </c>
      <c r="D100" s="6">
        <v>1</v>
      </c>
      <c r="E100" s="6">
        <v>0</v>
      </c>
      <c r="F100" s="6">
        <v>0</v>
      </c>
      <c r="G100" s="7">
        <v>0</v>
      </c>
      <c r="H100" s="2">
        <v>5</v>
      </c>
      <c r="I100" s="3">
        <v>180</v>
      </c>
      <c r="J100" s="3">
        <v>5</v>
      </c>
      <c r="K100" s="3">
        <v>50</v>
      </c>
      <c r="L100" s="4">
        <v>0</v>
      </c>
      <c r="N100" s="19">
        <v>8</v>
      </c>
      <c r="O100" s="19">
        <v>7.88</v>
      </c>
      <c r="P100" s="19">
        <v>540</v>
      </c>
      <c r="Q100" s="19">
        <v>480</v>
      </c>
      <c r="R100" s="19">
        <f t="shared" si="2"/>
        <v>60</v>
      </c>
      <c r="T100" s="2">
        <v>0.61080000000000001</v>
      </c>
      <c r="U100" s="3">
        <v>0.38919999999999999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4">
        <v>0</v>
      </c>
      <c r="BZ100" s="2">
        <v>0</v>
      </c>
      <c r="CA100" s="3">
        <v>0</v>
      </c>
      <c r="CB100" s="3">
        <v>1</v>
      </c>
      <c r="CC100" s="3">
        <v>0</v>
      </c>
      <c r="CD100" s="3">
        <v>1</v>
      </c>
      <c r="CE100" s="3">
        <v>1</v>
      </c>
      <c r="CF100" s="3">
        <v>1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1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4">
        <v>0</v>
      </c>
      <c r="DD100" s="19" t="s">
        <v>200</v>
      </c>
    </row>
    <row r="101" spans="1:108" x14ac:dyDescent="0.3">
      <c r="A101" s="2" t="s">
        <v>201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4">
        <v>1</v>
      </c>
      <c r="H101" s="2">
        <v>24</v>
      </c>
      <c r="I101" s="3">
        <v>220</v>
      </c>
      <c r="J101" s="3">
        <v>30</v>
      </c>
      <c r="K101" s="3">
        <v>0</v>
      </c>
      <c r="L101" s="4">
        <v>0</v>
      </c>
      <c r="N101" s="19">
        <v>12</v>
      </c>
      <c r="O101" s="19">
        <v>14.5</v>
      </c>
      <c r="P101" s="19">
        <v>420</v>
      </c>
      <c r="Q101" s="19">
        <v>350</v>
      </c>
      <c r="R101" s="19">
        <f t="shared" si="2"/>
        <v>70</v>
      </c>
      <c r="S101" s="19" t="s">
        <v>1</v>
      </c>
      <c r="T101" s="2">
        <v>0.37259999999999999</v>
      </c>
      <c r="U101" s="3">
        <v>0.55449999999999999</v>
      </c>
      <c r="V101" s="3">
        <v>2.2499999999999999E-2</v>
      </c>
      <c r="W101" s="3">
        <v>0</v>
      </c>
      <c r="X101" s="3">
        <v>0</v>
      </c>
      <c r="Y101" s="3">
        <v>9.7000000000000003E-3</v>
      </c>
      <c r="Z101" s="3">
        <v>4.07E-2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4">
        <v>0</v>
      </c>
      <c r="BZ101" s="2">
        <v>0</v>
      </c>
      <c r="CA101" s="3">
        <v>0</v>
      </c>
      <c r="CB101" s="3">
        <v>0</v>
      </c>
      <c r="CC101" s="3">
        <v>1</v>
      </c>
      <c r="CD101" s="3">
        <v>1</v>
      </c>
      <c r="CE101" s="3">
        <v>1</v>
      </c>
      <c r="CF101" s="3">
        <v>0</v>
      </c>
      <c r="CG101" s="3">
        <v>0</v>
      </c>
      <c r="CH101" s="3">
        <v>0</v>
      </c>
      <c r="CI101" s="3">
        <v>1</v>
      </c>
      <c r="CJ101" s="3">
        <v>0</v>
      </c>
      <c r="CK101" s="3">
        <v>0</v>
      </c>
      <c r="CL101" s="3">
        <v>0</v>
      </c>
      <c r="CM101" s="3">
        <v>1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1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4">
        <v>0</v>
      </c>
      <c r="DD101" s="19" t="s">
        <v>202</v>
      </c>
    </row>
    <row r="102" spans="1:108" x14ac:dyDescent="0.3">
      <c r="A102" s="2" t="s">
        <v>203</v>
      </c>
      <c r="B102" s="6">
        <v>0</v>
      </c>
      <c r="C102" s="6">
        <v>0</v>
      </c>
      <c r="D102" s="6">
        <v>0</v>
      </c>
      <c r="E102" s="6">
        <v>0</v>
      </c>
      <c r="F102" s="3">
        <v>1</v>
      </c>
      <c r="G102" s="7">
        <v>0</v>
      </c>
      <c r="H102" s="2">
        <v>8</v>
      </c>
      <c r="I102" s="3">
        <v>200</v>
      </c>
      <c r="J102" s="3">
        <v>1.4</v>
      </c>
      <c r="K102" s="3">
        <v>10</v>
      </c>
      <c r="L102" s="4">
        <v>1</v>
      </c>
      <c r="M102" s="19">
        <v>3.78</v>
      </c>
      <c r="N102" s="19">
        <v>6.35</v>
      </c>
      <c r="O102" s="19">
        <v>10.63</v>
      </c>
      <c r="P102" s="19">
        <v>435</v>
      </c>
      <c r="Q102" s="19">
        <v>350</v>
      </c>
      <c r="R102" s="19">
        <f t="shared" si="2"/>
        <v>85</v>
      </c>
      <c r="S102" s="19" t="s">
        <v>1</v>
      </c>
      <c r="T102" s="2">
        <v>0.70719999999999994</v>
      </c>
      <c r="U102" s="3">
        <v>0.19829999999999998</v>
      </c>
      <c r="V102" s="3">
        <v>9.2699999999999991E-2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4">
        <v>0</v>
      </c>
      <c r="AM102" s="2">
        <v>1</v>
      </c>
      <c r="AN102" s="3">
        <v>0</v>
      </c>
      <c r="AO102" s="3">
        <v>1</v>
      </c>
      <c r="AP102" s="3">
        <v>1</v>
      </c>
      <c r="AQ102" s="3">
        <v>1</v>
      </c>
      <c r="AR102" s="3">
        <v>1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1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4">
        <v>0</v>
      </c>
      <c r="BZ102" s="2">
        <v>0</v>
      </c>
      <c r="CA102" s="3">
        <v>0</v>
      </c>
      <c r="CB102" s="3">
        <v>1</v>
      </c>
      <c r="CC102" s="3">
        <v>0</v>
      </c>
      <c r="CD102" s="3">
        <v>1</v>
      </c>
      <c r="CE102" s="3">
        <v>1</v>
      </c>
      <c r="CF102" s="3">
        <v>1</v>
      </c>
      <c r="CG102" s="3">
        <v>0</v>
      </c>
      <c r="CH102" s="3">
        <v>0</v>
      </c>
      <c r="CI102" s="3">
        <v>1</v>
      </c>
      <c r="CJ102" s="3">
        <v>0</v>
      </c>
      <c r="CK102" s="3">
        <v>0</v>
      </c>
      <c r="CL102" s="3">
        <v>1</v>
      </c>
      <c r="CM102" s="3">
        <v>0</v>
      </c>
      <c r="CN102" s="3">
        <v>0</v>
      </c>
      <c r="CO102" s="3">
        <v>0</v>
      </c>
      <c r="CP102" s="3">
        <v>0</v>
      </c>
      <c r="CQ102" s="3">
        <v>1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4">
        <v>0</v>
      </c>
      <c r="DD102" s="20" t="s">
        <v>204</v>
      </c>
    </row>
    <row r="103" spans="1:108" x14ac:dyDescent="0.3">
      <c r="A103" s="2" t="s">
        <v>78</v>
      </c>
      <c r="B103" s="6">
        <v>0</v>
      </c>
      <c r="C103" s="6">
        <v>0</v>
      </c>
      <c r="D103" s="6">
        <v>1</v>
      </c>
      <c r="E103" s="6">
        <v>0</v>
      </c>
      <c r="F103" s="6">
        <v>0</v>
      </c>
      <c r="G103" s="7">
        <v>0</v>
      </c>
      <c r="H103" s="5">
        <v>3</v>
      </c>
      <c r="I103" s="6">
        <v>220</v>
      </c>
      <c r="J103" s="6">
        <v>1</v>
      </c>
      <c r="K103" s="6">
        <v>10</v>
      </c>
      <c r="L103" s="4">
        <v>0</v>
      </c>
      <c r="M103" s="18">
        <v>7</v>
      </c>
      <c r="N103" s="19">
        <v>4.22</v>
      </c>
      <c r="O103" s="18">
        <v>10.48</v>
      </c>
      <c r="P103" s="18">
        <v>503</v>
      </c>
      <c r="Q103" s="19">
        <v>412</v>
      </c>
      <c r="R103" s="19">
        <f t="shared" si="2"/>
        <v>91</v>
      </c>
      <c r="S103" s="19" t="s">
        <v>1</v>
      </c>
      <c r="T103" s="2">
        <f>9/(9+3.4+3.3+1)</f>
        <v>0.53892215568862278</v>
      </c>
      <c r="U103" s="3">
        <f>3.4/(9+3.4+3.3+1)</f>
        <v>0.20359281437125748</v>
      </c>
      <c r="V103" s="3">
        <f>3.3/(9+3.4+3.3+1)</f>
        <v>0.19760479041916168</v>
      </c>
      <c r="W103" s="3">
        <v>0</v>
      </c>
      <c r="X103" s="3">
        <v>0</v>
      </c>
      <c r="Y103" s="3">
        <f>1/(9+3.4+3.3+1)</f>
        <v>5.9880239520958084E-2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4">
        <v>0</v>
      </c>
      <c r="AM103" s="2">
        <v>1</v>
      </c>
      <c r="AN103" s="3">
        <v>0</v>
      </c>
      <c r="AO103" s="3">
        <v>1</v>
      </c>
      <c r="AP103" s="3">
        <v>1</v>
      </c>
      <c r="AQ103" s="3">
        <v>1</v>
      </c>
      <c r="AR103" s="3">
        <v>1</v>
      </c>
      <c r="AS103" s="3">
        <v>0</v>
      </c>
      <c r="AT103" s="3">
        <v>1</v>
      </c>
      <c r="AU103" s="3">
        <v>0</v>
      </c>
      <c r="AV103" s="3">
        <v>1</v>
      </c>
      <c r="AW103" s="3">
        <v>0</v>
      </c>
      <c r="AX103" s="3">
        <v>0</v>
      </c>
      <c r="AY103" s="3">
        <v>1</v>
      </c>
      <c r="AZ103" s="3">
        <v>1</v>
      </c>
      <c r="BA103" s="3">
        <v>0</v>
      </c>
      <c r="BB103" s="3">
        <v>0</v>
      </c>
      <c r="BC103" s="3">
        <v>1</v>
      </c>
      <c r="BD103" s="3">
        <v>0</v>
      </c>
      <c r="BE103" s="3">
        <v>0</v>
      </c>
      <c r="BF103" s="3">
        <v>1</v>
      </c>
      <c r="BG103" s="3">
        <v>0</v>
      </c>
      <c r="BH103" s="3">
        <v>0</v>
      </c>
      <c r="BI103" s="3">
        <v>1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1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4">
        <v>0</v>
      </c>
      <c r="BZ103" s="2">
        <v>0</v>
      </c>
      <c r="CA103" s="3">
        <v>0</v>
      </c>
      <c r="CB103" s="3">
        <v>1</v>
      </c>
      <c r="CC103" s="3">
        <v>1</v>
      </c>
      <c r="CD103" s="3">
        <v>1</v>
      </c>
      <c r="CE103" s="3">
        <v>0</v>
      </c>
      <c r="CF103" s="3">
        <v>1</v>
      </c>
      <c r="CG103" s="3">
        <v>0</v>
      </c>
      <c r="CH103" s="3">
        <v>0</v>
      </c>
      <c r="CI103" s="3">
        <v>1</v>
      </c>
      <c r="CJ103" s="3">
        <v>1</v>
      </c>
      <c r="CK103" s="3">
        <v>0</v>
      </c>
      <c r="CL103" s="3">
        <v>1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4">
        <v>0</v>
      </c>
      <c r="DD103" s="20" t="s">
        <v>205</v>
      </c>
    </row>
    <row r="104" spans="1:108" x14ac:dyDescent="0.3">
      <c r="A104" s="2" t="s">
        <v>206</v>
      </c>
      <c r="B104" s="6">
        <v>0</v>
      </c>
      <c r="C104" s="6">
        <v>1</v>
      </c>
      <c r="D104" s="6">
        <v>0</v>
      </c>
      <c r="E104" s="6">
        <v>0</v>
      </c>
      <c r="F104" s="6">
        <v>0</v>
      </c>
      <c r="G104" s="7">
        <v>0</v>
      </c>
      <c r="H104" s="2">
        <v>8</v>
      </c>
      <c r="I104" s="3">
        <v>180</v>
      </c>
      <c r="J104" s="3">
        <v>2</v>
      </c>
      <c r="K104" s="3">
        <v>40</v>
      </c>
      <c r="L104" s="4">
        <v>0</v>
      </c>
      <c r="N104" s="19">
        <v>9</v>
      </c>
      <c r="P104" s="19">
        <v>440</v>
      </c>
      <c r="Q104" s="19">
        <v>350</v>
      </c>
      <c r="R104" s="19">
        <f t="shared" si="2"/>
        <v>90</v>
      </c>
      <c r="S104" s="19" t="s">
        <v>1</v>
      </c>
      <c r="T104" s="2">
        <v>0.69359999999999999</v>
      </c>
      <c r="U104" s="3">
        <v>0.21160000000000001</v>
      </c>
      <c r="V104" s="3">
        <v>8.5699999999999998E-2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4">
        <v>0</v>
      </c>
      <c r="AM104" s="2">
        <v>1</v>
      </c>
      <c r="AN104" s="3">
        <v>0</v>
      </c>
      <c r="AO104" s="3">
        <v>1</v>
      </c>
      <c r="AP104" s="3">
        <v>1</v>
      </c>
      <c r="AQ104" s="3">
        <v>1</v>
      </c>
      <c r="AR104" s="3">
        <v>1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1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1</v>
      </c>
      <c r="BG104" s="3">
        <v>0</v>
      </c>
      <c r="BH104" s="3">
        <v>0</v>
      </c>
      <c r="BI104" s="3">
        <v>0</v>
      </c>
      <c r="BJ104" s="3">
        <v>0</v>
      </c>
      <c r="BK104" s="3">
        <v>1</v>
      </c>
      <c r="BL104" s="3">
        <v>0</v>
      </c>
      <c r="BM104" s="3">
        <v>0</v>
      </c>
      <c r="BN104" s="3">
        <v>0</v>
      </c>
      <c r="BO104" s="3">
        <v>1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4">
        <v>0</v>
      </c>
      <c r="BZ104" s="2">
        <v>0</v>
      </c>
      <c r="CA104" s="3">
        <v>0</v>
      </c>
      <c r="CB104" s="3">
        <v>1</v>
      </c>
      <c r="CC104" s="3">
        <v>1</v>
      </c>
      <c r="CD104" s="3">
        <v>1</v>
      </c>
      <c r="CE104" s="3">
        <v>1</v>
      </c>
      <c r="CF104" s="3">
        <v>1</v>
      </c>
      <c r="CG104" s="3">
        <v>0</v>
      </c>
      <c r="CH104" s="3">
        <v>0</v>
      </c>
      <c r="CI104" s="3">
        <v>1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4">
        <v>0</v>
      </c>
      <c r="DD104" s="20" t="s">
        <v>207</v>
      </c>
    </row>
    <row r="105" spans="1:108" x14ac:dyDescent="0.3">
      <c r="A105" s="2" t="s">
        <v>208</v>
      </c>
      <c r="B105" s="6">
        <v>0</v>
      </c>
      <c r="C105" s="6">
        <v>0</v>
      </c>
      <c r="D105" s="6">
        <v>0</v>
      </c>
      <c r="E105" s="6">
        <v>0</v>
      </c>
      <c r="F105" s="6">
        <v>1</v>
      </c>
      <c r="G105" s="7">
        <v>0</v>
      </c>
      <c r="H105" s="2">
        <v>3</v>
      </c>
      <c r="I105" s="3">
        <v>190</v>
      </c>
      <c r="J105" s="3">
        <v>1</v>
      </c>
      <c r="K105" s="3">
        <v>30</v>
      </c>
      <c r="L105" s="4">
        <v>0</v>
      </c>
      <c r="N105" s="19">
        <v>4</v>
      </c>
      <c r="O105" s="19">
        <v>18.670000000000002</v>
      </c>
      <c r="P105" s="19">
        <v>522</v>
      </c>
      <c r="Q105" s="19">
        <v>430</v>
      </c>
      <c r="R105" s="19">
        <f t="shared" si="2"/>
        <v>92</v>
      </c>
      <c r="S105" s="19" t="s">
        <v>2</v>
      </c>
      <c r="T105" s="2">
        <v>0.44040000000000001</v>
      </c>
      <c r="U105" s="3">
        <v>0.26250000000000001</v>
      </c>
      <c r="V105" s="3">
        <v>0.29709999999999998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4">
        <v>0</v>
      </c>
      <c r="AM105" s="2">
        <v>1</v>
      </c>
      <c r="AN105" s="3">
        <v>0</v>
      </c>
      <c r="AO105" s="3">
        <v>1</v>
      </c>
      <c r="AP105" s="3">
        <v>0</v>
      </c>
      <c r="AQ105" s="3">
        <v>1</v>
      </c>
      <c r="AR105" s="3">
        <v>1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1</v>
      </c>
      <c r="AZ105" s="3">
        <v>0</v>
      </c>
      <c r="BA105" s="3">
        <v>0</v>
      </c>
      <c r="BB105" s="3">
        <v>0</v>
      </c>
      <c r="BC105" s="3">
        <v>0</v>
      </c>
      <c r="BD105" s="3">
        <v>1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4">
        <v>0</v>
      </c>
      <c r="BZ105" s="2">
        <v>1</v>
      </c>
      <c r="CA105" s="3">
        <v>0</v>
      </c>
      <c r="CB105" s="3">
        <v>0</v>
      </c>
      <c r="CC105" s="3">
        <v>0</v>
      </c>
      <c r="CD105" s="3">
        <v>1</v>
      </c>
      <c r="CE105" s="3">
        <v>1</v>
      </c>
      <c r="CF105" s="3">
        <v>1</v>
      </c>
      <c r="CG105" s="3">
        <v>0</v>
      </c>
      <c r="CH105" s="3">
        <v>0</v>
      </c>
      <c r="CI105" s="3">
        <v>1</v>
      </c>
      <c r="CJ105" s="3">
        <v>0</v>
      </c>
      <c r="CK105" s="3">
        <v>0</v>
      </c>
      <c r="CL105" s="3">
        <v>1</v>
      </c>
      <c r="CM105" s="3">
        <v>1</v>
      </c>
      <c r="CN105" s="3">
        <v>0</v>
      </c>
      <c r="CO105" s="3">
        <v>0</v>
      </c>
      <c r="CP105" s="3">
        <v>0</v>
      </c>
      <c r="CQ105" s="3">
        <v>1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4">
        <v>0</v>
      </c>
      <c r="DD105" s="20" t="s">
        <v>209</v>
      </c>
    </row>
    <row r="106" spans="1:108" x14ac:dyDescent="0.3">
      <c r="A106" s="2" t="s">
        <v>210</v>
      </c>
      <c r="B106" s="6">
        <v>1</v>
      </c>
      <c r="C106" s="6">
        <v>0</v>
      </c>
      <c r="D106" s="6">
        <v>0</v>
      </c>
      <c r="E106" s="6">
        <v>0</v>
      </c>
      <c r="F106" s="6">
        <v>0</v>
      </c>
      <c r="G106" s="7">
        <v>0</v>
      </c>
      <c r="H106" s="2">
        <v>12</v>
      </c>
      <c r="I106" s="3">
        <v>180</v>
      </c>
      <c r="J106" s="3">
        <v>29</v>
      </c>
      <c r="K106" s="3">
        <v>0</v>
      </c>
      <c r="L106" s="4">
        <v>1</v>
      </c>
      <c r="N106" s="19">
        <v>3.58</v>
      </c>
      <c r="P106" s="19">
        <v>405</v>
      </c>
      <c r="Q106" s="19">
        <v>325</v>
      </c>
      <c r="R106" s="19">
        <f t="shared" si="2"/>
        <v>80</v>
      </c>
      <c r="T106" s="2">
        <v>0.754</v>
      </c>
      <c r="U106" s="3">
        <v>0.151</v>
      </c>
      <c r="V106" s="3">
        <v>9.5000000000000001E-2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4">
        <v>0</v>
      </c>
      <c r="BZ106" s="2">
        <v>0</v>
      </c>
      <c r="CA106" s="3">
        <v>0</v>
      </c>
      <c r="CB106" s="3">
        <v>1</v>
      </c>
      <c r="CC106" s="3">
        <v>0</v>
      </c>
      <c r="CD106" s="3">
        <v>1</v>
      </c>
      <c r="CE106" s="3">
        <v>1</v>
      </c>
      <c r="CF106" s="3">
        <v>1</v>
      </c>
      <c r="CG106" s="3">
        <v>0</v>
      </c>
      <c r="CH106" s="3">
        <v>0</v>
      </c>
      <c r="CI106" s="3">
        <v>1</v>
      </c>
      <c r="CJ106" s="3">
        <v>0</v>
      </c>
      <c r="CK106" s="3">
        <v>0</v>
      </c>
      <c r="CL106" s="3">
        <v>1</v>
      </c>
      <c r="CM106" s="3">
        <v>0</v>
      </c>
      <c r="CN106" s="3">
        <v>0</v>
      </c>
      <c r="CO106" s="3">
        <v>0</v>
      </c>
      <c r="CP106" s="3">
        <v>0</v>
      </c>
      <c r="CQ106" s="3">
        <v>1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4">
        <v>0</v>
      </c>
      <c r="DD106" s="20" t="s">
        <v>211</v>
      </c>
    </row>
    <row r="107" spans="1:108" x14ac:dyDescent="0.3">
      <c r="A107" s="2" t="s">
        <v>212</v>
      </c>
      <c r="B107" s="6">
        <v>0</v>
      </c>
      <c r="C107" s="6">
        <v>0</v>
      </c>
      <c r="D107" s="6">
        <v>0</v>
      </c>
      <c r="E107" s="6">
        <v>0</v>
      </c>
      <c r="F107" s="6">
        <v>1</v>
      </c>
      <c r="G107" s="7">
        <v>0</v>
      </c>
      <c r="H107" s="2">
        <v>12</v>
      </c>
      <c r="I107" s="3">
        <v>180</v>
      </c>
      <c r="J107" s="3">
        <v>2</v>
      </c>
      <c r="K107" s="3">
        <v>25</v>
      </c>
      <c r="L107" s="4">
        <v>1</v>
      </c>
      <c r="M107" s="19">
        <v>12.3</v>
      </c>
      <c r="N107" s="19">
        <v>5</v>
      </c>
      <c r="O107" s="19">
        <v>36</v>
      </c>
      <c r="P107" s="19">
        <v>431</v>
      </c>
      <c r="Q107" s="19">
        <v>340</v>
      </c>
      <c r="R107" s="19">
        <f t="shared" si="2"/>
        <v>91</v>
      </c>
      <c r="S107" s="19" t="s">
        <v>1</v>
      </c>
      <c r="AM107" s="2">
        <v>1</v>
      </c>
      <c r="AN107" s="3">
        <v>0</v>
      </c>
      <c r="AO107" s="3">
        <v>1</v>
      </c>
      <c r="AP107" s="3">
        <v>1</v>
      </c>
      <c r="AQ107" s="3">
        <v>0</v>
      </c>
      <c r="AR107" s="3">
        <v>1</v>
      </c>
      <c r="AS107" s="3">
        <v>0</v>
      </c>
      <c r="AT107" s="3">
        <v>1</v>
      </c>
      <c r="AU107" s="3">
        <v>0</v>
      </c>
      <c r="AV107" s="3">
        <v>1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1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4">
        <v>0</v>
      </c>
      <c r="BZ107" s="2">
        <v>0</v>
      </c>
      <c r="CA107" s="3">
        <v>0</v>
      </c>
      <c r="CB107" s="3">
        <v>0</v>
      </c>
      <c r="CC107" s="3">
        <v>0</v>
      </c>
      <c r="CD107" s="3">
        <v>1</v>
      </c>
      <c r="CE107" s="3">
        <v>0</v>
      </c>
      <c r="CF107" s="3">
        <v>1</v>
      </c>
      <c r="CG107" s="3">
        <v>0</v>
      </c>
      <c r="CH107" s="3">
        <v>0</v>
      </c>
      <c r="CI107" s="3">
        <v>1</v>
      </c>
      <c r="CJ107" s="3">
        <v>0</v>
      </c>
      <c r="CK107" s="3">
        <v>0</v>
      </c>
      <c r="CL107" s="3">
        <v>1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4">
        <v>0</v>
      </c>
      <c r="DD107" s="20" t="s">
        <v>213</v>
      </c>
    </row>
    <row r="108" spans="1:108" x14ac:dyDescent="0.3">
      <c r="A108" s="2" t="s">
        <v>214</v>
      </c>
      <c r="B108" s="6">
        <v>0</v>
      </c>
      <c r="C108" s="6">
        <v>0</v>
      </c>
      <c r="D108" s="6">
        <v>0</v>
      </c>
      <c r="E108" s="6">
        <v>0</v>
      </c>
      <c r="F108" s="6">
        <v>1</v>
      </c>
      <c r="G108" s="7">
        <v>0</v>
      </c>
      <c r="H108" s="2">
        <v>6</v>
      </c>
      <c r="I108" s="3">
        <v>220</v>
      </c>
      <c r="J108" s="3">
        <v>12</v>
      </c>
      <c r="K108" s="3">
        <v>150</v>
      </c>
      <c r="L108" s="4">
        <v>0</v>
      </c>
      <c r="N108" s="19">
        <v>2.9</v>
      </c>
      <c r="O108" s="19">
        <v>2.88</v>
      </c>
      <c r="P108" s="19">
        <v>524</v>
      </c>
      <c r="Q108" s="19">
        <v>458</v>
      </c>
      <c r="R108" s="19">
        <f t="shared" si="2"/>
        <v>66</v>
      </c>
      <c r="S108" s="19" t="s">
        <v>1</v>
      </c>
      <c r="DD108" s="20" t="s">
        <v>215</v>
      </c>
    </row>
    <row r="109" spans="1:108" x14ac:dyDescent="0.3">
      <c r="A109" s="2" t="s">
        <v>216</v>
      </c>
      <c r="B109" s="6">
        <v>1</v>
      </c>
      <c r="C109" s="6">
        <v>0</v>
      </c>
      <c r="D109" s="6">
        <v>0</v>
      </c>
      <c r="E109" s="6">
        <v>0</v>
      </c>
      <c r="F109" s="6">
        <v>0</v>
      </c>
      <c r="G109" s="7">
        <v>0</v>
      </c>
      <c r="H109" s="2">
        <v>12</v>
      </c>
      <c r="I109" s="3">
        <v>170</v>
      </c>
      <c r="J109" s="3">
        <v>400</v>
      </c>
      <c r="K109" s="3">
        <v>500</v>
      </c>
      <c r="L109" s="4">
        <v>0</v>
      </c>
      <c r="N109" s="19">
        <v>3.5</v>
      </c>
      <c r="O109" s="19">
        <v>7.6</v>
      </c>
      <c r="P109" s="19">
        <v>453</v>
      </c>
      <c r="Q109" s="19">
        <v>383</v>
      </c>
      <c r="R109" s="19">
        <f t="shared" si="2"/>
        <v>70</v>
      </c>
      <c r="S109" s="19" t="s">
        <v>1</v>
      </c>
      <c r="BZ109" s="2">
        <v>0</v>
      </c>
      <c r="CA109" s="3">
        <v>0</v>
      </c>
      <c r="CB109" s="3">
        <v>0</v>
      </c>
      <c r="CC109" s="3">
        <v>0</v>
      </c>
      <c r="CD109" s="3">
        <v>1</v>
      </c>
      <c r="CE109" s="3">
        <v>1</v>
      </c>
      <c r="CF109" s="3">
        <v>1</v>
      </c>
      <c r="CG109" s="3">
        <v>0</v>
      </c>
      <c r="CH109" s="3">
        <v>0</v>
      </c>
      <c r="CI109" s="3">
        <v>1</v>
      </c>
      <c r="CJ109" s="3">
        <v>0</v>
      </c>
      <c r="CK109" s="3">
        <v>0</v>
      </c>
      <c r="CL109" s="3">
        <v>1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4">
        <v>0</v>
      </c>
      <c r="DD109" s="20" t="s">
        <v>217</v>
      </c>
    </row>
    <row r="110" spans="1:108" x14ac:dyDescent="0.3">
      <c r="A110" s="2" t="s">
        <v>218</v>
      </c>
      <c r="B110" s="6">
        <v>1</v>
      </c>
      <c r="C110" s="6">
        <v>0</v>
      </c>
      <c r="D110" s="6">
        <v>0</v>
      </c>
      <c r="E110" s="6">
        <v>0</v>
      </c>
      <c r="F110" s="6">
        <v>0</v>
      </c>
      <c r="G110" s="7">
        <v>0</v>
      </c>
      <c r="H110" s="2">
        <v>5</v>
      </c>
      <c r="I110" s="3">
        <v>180</v>
      </c>
      <c r="J110" s="3">
        <v>23</v>
      </c>
      <c r="K110" s="3">
        <v>0</v>
      </c>
      <c r="L110" s="4">
        <v>1</v>
      </c>
      <c r="N110" s="19">
        <v>7</v>
      </c>
      <c r="O110" s="19">
        <v>13</v>
      </c>
      <c r="P110" s="19">
        <v>411</v>
      </c>
      <c r="Q110" s="19">
        <v>310</v>
      </c>
      <c r="R110" s="19">
        <f t="shared" si="2"/>
        <v>101</v>
      </c>
      <c r="S110" s="19" t="s">
        <v>1</v>
      </c>
      <c r="AM110" s="2">
        <v>1</v>
      </c>
      <c r="AN110" s="3">
        <v>0</v>
      </c>
      <c r="AO110" s="3">
        <v>1</v>
      </c>
      <c r="AP110" s="3">
        <v>1</v>
      </c>
      <c r="AQ110" s="3">
        <v>1</v>
      </c>
      <c r="AR110" s="3">
        <v>1</v>
      </c>
      <c r="AS110" s="3">
        <v>0</v>
      </c>
      <c r="AT110" s="3">
        <v>0</v>
      </c>
      <c r="AU110" s="3">
        <v>0</v>
      </c>
      <c r="AV110" s="3">
        <v>1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4">
        <v>0</v>
      </c>
      <c r="BZ110" s="2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1</v>
      </c>
      <c r="CF110" s="3">
        <v>1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1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4">
        <v>0</v>
      </c>
      <c r="DD110" s="20" t="s">
        <v>219</v>
      </c>
    </row>
    <row r="111" spans="1:108" x14ac:dyDescent="0.3">
      <c r="A111" s="2" t="s">
        <v>220</v>
      </c>
      <c r="B111" s="6">
        <v>0</v>
      </c>
      <c r="C111" s="6">
        <v>0</v>
      </c>
      <c r="D111" s="6">
        <v>1</v>
      </c>
      <c r="E111" s="6">
        <v>0</v>
      </c>
      <c r="F111" s="6">
        <v>0</v>
      </c>
      <c r="G111" s="7">
        <v>0</v>
      </c>
      <c r="H111" s="2">
        <v>12</v>
      </c>
      <c r="I111" s="3">
        <v>240</v>
      </c>
      <c r="J111" s="3">
        <v>3</v>
      </c>
      <c r="K111" s="3">
        <v>30</v>
      </c>
      <c r="L111" s="4">
        <v>0</v>
      </c>
      <c r="N111" s="19">
        <v>4</v>
      </c>
      <c r="O111" s="19">
        <v>11</v>
      </c>
      <c r="P111" s="19">
        <v>405</v>
      </c>
      <c r="Q111" s="19">
        <v>340</v>
      </c>
      <c r="R111" s="19">
        <f t="shared" si="2"/>
        <v>65</v>
      </c>
      <c r="S111" s="19" t="s">
        <v>1</v>
      </c>
      <c r="T111" s="2">
        <v>0.7</v>
      </c>
      <c r="U111" s="3">
        <v>0.24</v>
      </c>
      <c r="V111" s="3">
        <v>0.06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4">
        <v>0</v>
      </c>
      <c r="AM111" s="2">
        <v>1</v>
      </c>
      <c r="AN111" s="3">
        <v>0</v>
      </c>
      <c r="AO111" s="3">
        <v>1</v>
      </c>
      <c r="AP111" s="3">
        <v>0</v>
      </c>
      <c r="AQ111" s="3">
        <v>1</v>
      </c>
      <c r="AR111" s="3">
        <v>1</v>
      </c>
      <c r="AS111" s="3">
        <v>0</v>
      </c>
      <c r="AT111" s="3">
        <v>1</v>
      </c>
      <c r="AU111" s="3">
        <v>0</v>
      </c>
      <c r="AV111" s="3">
        <v>1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1</v>
      </c>
      <c r="BE111" s="3">
        <v>0</v>
      </c>
      <c r="BF111" s="3">
        <v>1</v>
      </c>
      <c r="BG111" s="3">
        <v>0</v>
      </c>
      <c r="BH111" s="3">
        <v>0</v>
      </c>
      <c r="BI111" s="3">
        <v>1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1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4">
        <v>0</v>
      </c>
      <c r="BZ111" s="2">
        <v>0</v>
      </c>
      <c r="CA111" s="3">
        <v>1</v>
      </c>
      <c r="CB111" s="3">
        <v>1</v>
      </c>
      <c r="CC111" s="3">
        <v>0</v>
      </c>
      <c r="CD111" s="3">
        <v>1</v>
      </c>
      <c r="CE111" s="3">
        <v>0</v>
      </c>
      <c r="CF111" s="3">
        <v>1</v>
      </c>
      <c r="CG111" s="3">
        <v>0</v>
      </c>
      <c r="CH111" s="3">
        <v>0</v>
      </c>
      <c r="CI111" s="3">
        <v>1</v>
      </c>
      <c r="CJ111" s="3">
        <v>0</v>
      </c>
      <c r="CK111" s="3">
        <v>0</v>
      </c>
      <c r="CL111" s="3">
        <v>1</v>
      </c>
      <c r="CM111" s="3">
        <v>1</v>
      </c>
      <c r="CN111" s="3">
        <v>0</v>
      </c>
      <c r="CO111" s="3">
        <v>0</v>
      </c>
      <c r="CP111" s="3">
        <v>0</v>
      </c>
      <c r="CQ111" s="3">
        <v>1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1</v>
      </c>
      <c r="DA111" s="3">
        <v>0</v>
      </c>
      <c r="DB111" s="3">
        <v>0</v>
      </c>
      <c r="DC111" s="4">
        <v>0</v>
      </c>
      <c r="DD111" s="20" t="s">
        <v>221</v>
      </c>
    </row>
    <row r="112" spans="1:108" x14ac:dyDescent="0.3">
      <c r="A112" s="2" t="s">
        <v>222</v>
      </c>
      <c r="B112" s="6">
        <v>0</v>
      </c>
      <c r="C112" s="6">
        <v>0</v>
      </c>
      <c r="D112" s="6">
        <v>0</v>
      </c>
      <c r="E112" s="6">
        <v>0</v>
      </c>
      <c r="F112" s="6">
        <v>1</v>
      </c>
      <c r="G112" s="7">
        <v>0</v>
      </c>
      <c r="H112" s="2">
        <v>24</v>
      </c>
      <c r="I112" s="3">
        <v>200</v>
      </c>
      <c r="J112" s="3">
        <v>70</v>
      </c>
      <c r="K112" s="3">
        <v>0</v>
      </c>
      <c r="L112" s="4">
        <v>1</v>
      </c>
      <c r="N112" s="19">
        <v>4</v>
      </c>
      <c r="O112" s="19">
        <v>23</v>
      </c>
      <c r="P112" s="19">
        <v>413</v>
      </c>
      <c r="Q112" s="19">
        <v>345</v>
      </c>
      <c r="R112" s="19">
        <f t="shared" si="2"/>
        <v>68</v>
      </c>
      <c r="S112" s="19" t="s">
        <v>1</v>
      </c>
      <c r="T112" s="2">
        <v>0.75</v>
      </c>
      <c r="U112" s="3">
        <v>0.18</v>
      </c>
      <c r="V112" s="3">
        <v>0.7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4">
        <v>0</v>
      </c>
      <c r="AM112" s="2">
        <v>1</v>
      </c>
      <c r="AN112" s="3">
        <v>0</v>
      </c>
      <c r="AO112" s="3">
        <v>1</v>
      </c>
      <c r="AP112" s="3">
        <v>1</v>
      </c>
      <c r="AQ112" s="3">
        <v>1</v>
      </c>
      <c r="AR112" s="3">
        <v>1</v>
      </c>
      <c r="AS112" s="3">
        <v>0</v>
      </c>
      <c r="AT112" s="3">
        <v>1</v>
      </c>
      <c r="AU112" s="3">
        <v>0</v>
      </c>
      <c r="AV112" s="3">
        <v>1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1</v>
      </c>
      <c r="BG112" s="3">
        <v>0</v>
      </c>
      <c r="BH112" s="3">
        <v>0</v>
      </c>
      <c r="BI112" s="3">
        <v>1</v>
      </c>
      <c r="BJ112" s="3">
        <v>0</v>
      </c>
      <c r="BK112" s="3">
        <v>1</v>
      </c>
      <c r="BL112" s="3">
        <v>0</v>
      </c>
      <c r="BM112" s="3">
        <v>1</v>
      </c>
      <c r="BN112" s="3">
        <v>0</v>
      </c>
      <c r="BO112" s="3">
        <v>1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4">
        <v>0</v>
      </c>
      <c r="BZ112" s="2">
        <v>1</v>
      </c>
      <c r="CA112" s="3">
        <v>0</v>
      </c>
      <c r="CB112" s="3">
        <v>1</v>
      </c>
      <c r="CC112" s="3">
        <v>0</v>
      </c>
      <c r="CD112" s="3">
        <v>1</v>
      </c>
      <c r="CE112" s="3">
        <v>1</v>
      </c>
      <c r="CF112" s="3">
        <v>1</v>
      </c>
      <c r="CG112" s="3">
        <v>0</v>
      </c>
      <c r="CH112" s="3">
        <v>0</v>
      </c>
      <c r="CI112" s="3">
        <v>1</v>
      </c>
      <c r="CJ112" s="3">
        <v>0</v>
      </c>
      <c r="CK112" s="3">
        <v>0</v>
      </c>
      <c r="CL112" s="3">
        <v>1</v>
      </c>
      <c r="CM112" s="3">
        <v>1</v>
      </c>
      <c r="CN112" s="3">
        <v>0</v>
      </c>
      <c r="CO112" s="3">
        <v>0</v>
      </c>
      <c r="CP112" s="3">
        <v>0</v>
      </c>
      <c r="CQ112" s="3">
        <v>1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4">
        <v>0</v>
      </c>
      <c r="DD112" s="20" t="s">
        <v>223</v>
      </c>
    </row>
    <row r="113" spans="1:108" x14ac:dyDescent="0.3">
      <c r="A113" s="2" t="s">
        <v>224</v>
      </c>
      <c r="B113" s="6">
        <v>1</v>
      </c>
      <c r="C113" s="6">
        <v>0</v>
      </c>
      <c r="D113" s="6">
        <v>0</v>
      </c>
      <c r="E113" s="6">
        <v>0</v>
      </c>
      <c r="F113" s="6">
        <v>0</v>
      </c>
      <c r="G113" s="7">
        <v>0</v>
      </c>
      <c r="H113" s="2">
        <v>3</v>
      </c>
      <c r="I113" s="3">
        <v>150</v>
      </c>
      <c r="J113" s="3">
        <v>100</v>
      </c>
      <c r="K113" s="3">
        <v>0</v>
      </c>
      <c r="L113" s="4">
        <v>1</v>
      </c>
      <c r="N113" s="19">
        <v>7</v>
      </c>
      <c r="O113" s="19">
        <v>10.06</v>
      </c>
      <c r="P113" s="19">
        <v>453</v>
      </c>
      <c r="Q113" s="19">
        <v>370</v>
      </c>
      <c r="R113" s="19">
        <f t="shared" si="2"/>
        <v>83</v>
      </c>
      <c r="S113" s="19" t="s">
        <v>1</v>
      </c>
      <c r="AM113" s="2">
        <v>0</v>
      </c>
      <c r="AN113" s="3">
        <v>0</v>
      </c>
      <c r="AO113" s="3">
        <v>1</v>
      </c>
      <c r="AP113" s="3">
        <v>1</v>
      </c>
      <c r="AQ113" s="3">
        <v>0</v>
      </c>
      <c r="AR113" s="3">
        <v>1</v>
      </c>
      <c r="AS113" s="3">
        <v>0</v>
      </c>
      <c r="AT113" s="3">
        <v>1</v>
      </c>
      <c r="AU113" s="3">
        <v>0</v>
      </c>
      <c r="AV113" s="3">
        <v>1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4">
        <v>0</v>
      </c>
      <c r="BZ113" s="2">
        <v>0</v>
      </c>
      <c r="CA113" s="3">
        <v>0</v>
      </c>
      <c r="CB113" s="3">
        <v>0</v>
      </c>
      <c r="CC113" s="3">
        <v>0</v>
      </c>
      <c r="CD113" s="3">
        <v>1</v>
      </c>
      <c r="CE113" s="3">
        <v>0</v>
      </c>
      <c r="CF113" s="3">
        <v>1</v>
      </c>
      <c r="CG113" s="3">
        <v>0</v>
      </c>
      <c r="CH113" s="3">
        <v>0</v>
      </c>
      <c r="CI113" s="3">
        <v>1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1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4">
        <v>0</v>
      </c>
      <c r="DD113" s="20" t="s">
        <v>225</v>
      </c>
    </row>
    <row r="114" spans="1:108" x14ac:dyDescent="0.3">
      <c r="A114" s="2" t="s">
        <v>226</v>
      </c>
      <c r="B114" s="6">
        <v>0</v>
      </c>
      <c r="C114" s="6">
        <v>1</v>
      </c>
      <c r="D114" s="6">
        <v>0</v>
      </c>
      <c r="E114" s="6">
        <v>0</v>
      </c>
      <c r="F114" s="6">
        <v>0</v>
      </c>
      <c r="G114" s="7">
        <v>0</v>
      </c>
      <c r="H114" s="2">
        <v>12</v>
      </c>
      <c r="I114" s="3">
        <v>150</v>
      </c>
      <c r="J114" s="3">
        <v>60</v>
      </c>
      <c r="K114" s="3">
        <v>0</v>
      </c>
      <c r="L114" s="4">
        <v>0</v>
      </c>
      <c r="N114" s="19">
        <v>1.8</v>
      </c>
      <c r="O114" s="19">
        <v>37.5</v>
      </c>
      <c r="P114" s="19">
        <v>473</v>
      </c>
      <c r="Q114" s="19">
        <v>380</v>
      </c>
      <c r="R114" s="19">
        <f t="shared" si="2"/>
        <v>93</v>
      </c>
      <c r="S114" s="19" t="s">
        <v>1</v>
      </c>
      <c r="AM114" s="2">
        <v>0</v>
      </c>
      <c r="AN114" s="3">
        <v>0</v>
      </c>
      <c r="AO114" s="3">
        <v>1</v>
      </c>
      <c r="AP114" s="3">
        <v>1</v>
      </c>
      <c r="AQ114" s="3">
        <v>1</v>
      </c>
      <c r="AR114" s="3">
        <v>1</v>
      </c>
      <c r="AS114" s="3">
        <v>0</v>
      </c>
      <c r="AT114" s="3">
        <v>1</v>
      </c>
      <c r="AU114" s="3">
        <v>0</v>
      </c>
      <c r="AV114" s="3">
        <v>1</v>
      </c>
      <c r="AW114" s="3">
        <v>0</v>
      </c>
      <c r="AX114" s="3">
        <v>0</v>
      </c>
      <c r="AY114" s="3">
        <v>1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1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4">
        <v>0</v>
      </c>
      <c r="BZ114" s="2">
        <v>0</v>
      </c>
      <c r="CA114" s="3">
        <v>0</v>
      </c>
      <c r="CB114" s="3">
        <v>0</v>
      </c>
      <c r="CC114" s="3">
        <v>0</v>
      </c>
      <c r="CD114" s="3">
        <v>1</v>
      </c>
      <c r="CE114" s="3">
        <v>1</v>
      </c>
      <c r="CF114" s="3">
        <v>1</v>
      </c>
      <c r="CG114" s="3">
        <v>0</v>
      </c>
      <c r="CH114" s="3">
        <v>0</v>
      </c>
      <c r="CI114" s="3">
        <v>1</v>
      </c>
      <c r="CJ114" s="3">
        <v>0</v>
      </c>
      <c r="CK114" s="3">
        <v>0</v>
      </c>
      <c r="CL114" s="3">
        <v>0</v>
      </c>
      <c r="CM114" s="3">
        <v>1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4">
        <v>0</v>
      </c>
      <c r="DD114" s="20" t="s">
        <v>227</v>
      </c>
    </row>
    <row r="115" spans="1:108" x14ac:dyDescent="0.3">
      <c r="A115" s="2" t="s">
        <v>228</v>
      </c>
      <c r="B115" s="6">
        <v>0</v>
      </c>
      <c r="C115" s="6">
        <v>0</v>
      </c>
      <c r="D115" s="6">
        <v>1</v>
      </c>
      <c r="E115" s="6">
        <v>0</v>
      </c>
      <c r="F115" s="6">
        <v>0</v>
      </c>
      <c r="G115" s="7">
        <v>0</v>
      </c>
      <c r="H115" s="2">
        <v>5</v>
      </c>
      <c r="I115" s="3">
        <v>200</v>
      </c>
      <c r="J115" s="3">
        <v>0.5</v>
      </c>
      <c r="K115" s="3">
        <v>30</v>
      </c>
      <c r="L115" s="4">
        <v>0</v>
      </c>
      <c r="N115" s="19">
        <f>(3.5*6+8*6.5+14*7+28*8+31.5*9+10*17.5+12*3.5)/100</f>
        <v>8.9550000000000001</v>
      </c>
      <c r="O115" s="19">
        <v>7.6</v>
      </c>
      <c r="P115" s="19">
        <v>432</v>
      </c>
      <c r="Q115" s="19">
        <v>360</v>
      </c>
      <c r="R115" s="19">
        <f t="shared" si="2"/>
        <v>72</v>
      </c>
      <c r="S115" s="19" t="s">
        <v>2</v>
      </c>
      <c r="DD115" s="20" t="s">
        <v>229</v>
      </c>
    </row>
    <row r="116" spans="1:108" x14ac:dyDescent="0.3">
      <c r="A116" s="2" t="s">
        <v>230</v>
      </c>
      <c r="B116" s="6">
        <v>0</v>
      </c>
      <c r="C116" s="6">
        <v>0</v>
      </c>
      <c r="D116" s="6">
        <v>1</v>
      </c>
      <c r="E116" s="6">
        <v>0</v>
      </c>
      <c r="F116" s="6">
        <v>0</v>
      </c>
      <c r="G116" s="7">
        <v>0</v>
      </c>
      <c r="H116" s="2">
        <v>4</v>
      </c>
      <c r="I116" s="3">
        <v>220</v>
      </c>
      <c r="J116" s="3">
        <v>5</v>
      </c>
      <c r="K116" s="3">
        <v>75</v>
      </c>
      <c r="L116" s="4">
        <v>0</v>
      </c>
      <c r="N116" s="19">
        <v>9</v>
      </c>
      <c r="O116" s="19">
        <v>30.8</v>
      </c>
      <c r="P116" s="19">
        <v>410</v>
      </c>
      <c r="Q116" s="19">
        <v>330</v>
      </c>
      <c r="R116" s="19">
        <f t="shared" si="2"/>
        <v>80</v>
      </c>
      <c r="S116" s="19" t="s">
        <v>1</v>
      </c>
      <c r="T116" s="2">
        <v>0.75590000000000002</v>
      </c>
      <c r="U116" s="3">
        <v>5.4100000000000002E-2</v>
      </c>
      <c r="V116" s="3">
        <v>0.19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4">
        <v>0</v>
      </c>
      <c r="AM116" s="2">
        <v>1</v>
      </c>
      <c r="AN116" s="3">
        <v>0</v>
      </c>
      <c r="AO116" s="3">
        <v>0</v>
      </c>
      <c r="AP116" s="3">
        <v>1</v>
      </c>
      <c r="AQ116" s="3">
        <v>1</v>
      </c>
      <c r="AR116" s="3">
        <v>1</v>
      </c>
      <c r="AS116" s="3">
        <v>0</v>
      </c>
      <c r="AT116" s="3">
        <v>1</v>
      </c>
      <c r="AU116" s="3">
        <v>0</v>
      </c>
      <c r="AV116" s="3">
        <v>1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1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4">
        <v>0</v>
      </c>
      <c r="BZ116" s="2">
        <v>1</v>
      </c>
      <c r="CA116" s="3">
        <v>0</v>
      </c>
      <c r="CB116" s="3">
        <v>0</v>
      </c>
      <c r="CC116" s="3">
        <v>1</v>
      </c>
      <c r="CD116" s="3">
        <v>1</v>
      </c>
      <c r="CE116" s="3">
        <v>1</v>
      </c>
      <c r="CF116" s="3">
        <v>1</v>
      </c>
      <c r="CG116" s="3">
        <v>0</v>
      </c>
      <c r="CH116" s="3">
        <v>0</v>
      </c>
      <c r="CI116" s="3">
        <v>1</v>
      </c>
      <c r="CJ116" s="3">
        <v>0</v>
      </c>
      <c r="CK116" s="3">
        <v>0</v>
      </c>
      <c r="CL116" s="3">
        <v>1</v>
      </c>
      <c r="CM116" s="3">
        <v>0</v>
      </c>
      <c r="CN116" s="3">
        <v>0</v>
      </c>
      <c r="CO116" s="3">
        <v>0</v>
      </c>
      <c r="CP116" s="3">
        <v>1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4">
        <v>0</v>
      </c>
      <c r="DD116" s="20" t="s">
        <v>81</v>
      </c>
    </row>
    <row r="117" spans="1:108" x14ac:dyDescent="0.3">
      <c r="A117" s="2" t="s">
        <v>231</v>
      </c>
      <c r="B117" s="6">
        <v>1</v>
      </c>
      <c r="C117" s="6">
        <v>0</v>
      </c>
      <c r="D117" s="6">
        <v>0</v>
      </c>
      <c r="E117" s="6">
        <v>0</v>
      </c>
      <c r="F117" s="6">
        <v>0</v>
      </c>
      <c r="G117" s="7">
        <v>0</v>
      </c>
      <c r="H117" s="2">
        <v>6</v>
      </c>
      <c r="I117" s="3">
        <v>180</v>
      </c>
      <c r="J117" s="3">
        <v>20</v>
      </c>
      <c r="K117" s="3">
        <v>0</v>
      </c>
      <c r="L117" s="4">
        <v>0</v>
      </c>
      <c r="N117" s="19">
        <v>7</v>
      </c>
      <c r="O117" s="19">
        <v>9.6999999999999993</v>
      </c>
      <c r="P117" s="19">
        <v>430</v>
      </c>
      <c r="Q117" s="19">
        <v>340</v>
      </c>
      <c r="R117" s="19">
        <f t="shared" si="2"/>
        <v>90</v>
      </c>
      <c r="DD117" s="19" t="s">
        <v>232</v>
      </c>
    </row>
    <row r="118" spans="1:108" x14ac:dyDescent="0.3">
      <c r="A118" s="2" t="s">
        <v>233</v>
      </c>
      <c r="B118" s="6">
        <v>0</v>
      </c>
      <c r="C118" s="6">
        <v>0</v>
      </c>
      <c r="D118" s="6">
        <v>1</v>
      </c>
      <c r="E118" s="6">
        <v>0</v>
      </c>
      <c r="F118" s="6">
        <v>0</v>
      </c>
      <c r="G118" s="7">
        <v>0</v>
      </c>
      <c r="H118" s="2">
        <v>36</v>
      </c>
      <c r="I118" s="3">
        <v>180</v>
      </c>
      <c r="J118" s="3">
        <v>0.3</v>
      </c>
      <c r="K118" s="3">
        <v>50</v>
      </c>
      <c r="L118" s="4">
        <v>1</v>
      </c>
      <c r="N118" s="19">
        <v>9</v>
      </c>
      <c r="O118" s="19">
        <v>7</v>
      </c>
      <c r="P118" s="19">
        <v>395</v>
      </c>
      <c r="Q118" s="19">
        <v>320</v>
      </c>
      <c r="R118" s="19">
        <f t="shared" si="2"/>
        <v>75</v>
      </c>
      <c r="S118" s="19" t="s">
        <v>1</v>
      </c>
      <c r="T118" s="2">
        <v>0.63</v>
      </c>
      <c r="U118" s="3">
        <v>0.31</v>
      </c>
      <c r="V118" s="3">
        <v>0.06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4">
        <v>0</v>
      </c>
      <c r="AM118" s="2">
        <v>1</v>
      </c>
      <c r="AN118" s="3">
        <v>0</v>
      </c>
      <c r="AO118" s="3">
        <v>1</v>
      </c>
      <c r="AP118" s="3">
        <v>1</v>
      </c>
      <c r="AQ118" s="3">
        <v>1</v>
      </c>
      <c r="AR118" s="3">
        <v>0</v>
      </c>
      <c r="AS118" s="3">
        <v>0</v>
      </c>
      <c r="AT118" s="3">
        <v>1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1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1</v>
      </c>
      <c r="BN118" s="3">
        <v>0</v>
      </c>
      <c r="BO118" s="3">
        <v>1</v>
      </c>
      <c r="BP118" s="3">
        <v>1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1</v>
      </c>
      <c r="BX118" s="3">
        <v>0</v>
      </c>
      <c r="BY118" s="4">
        <v>0</v>
      </c>
      <c r="BZ118" s="2">
        <v>0</v>
      </c>
      <c r="CA118" s="3">
        <v>0</v>
      </c>
      <c r="CB118" s="3">
        <v>1</v>
      </c>
      <c r="CC118" s="3">
        <v>0</v>
      </c>
      <c r="CD118" s="3">
        <v>1</v>
      </c>
      <c r="CE118" s="3">
        <v>1</v>
      </c>
      <c r="CF118" s="3">
        <v>1</v>
      </c>
      <c r="CG118" s="3">
        <v>0</v>
      </c>
      <c r="CH118" s="3">
        <v>0</v>
      </c>
      <c r="CI118" s="3">
        <v>1</v>
      </c>
      <c r="CJ118" s="3">
        <v>0</v>
      </c>
      <c r="CK118" s="3">
        <v>0</v>
      </c>
      <c r="CL118" s="3">
        <v>1</v>
      </c>
      <c r="CM118" s="3">
        <v>1</v>
      </c>
      <c r="CN118" s="3">
        <v>0</v>
      </c>
      <c r="CO118" s="3">
        <v>0</v>
      </c>
      <c r="CP118" s="3">
        <v>0</v>
      </c>
      <c r="CQ118" s="3">
        <v>1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4">
        <v>0</v>
      </c>
      <c r="DD118" s="20" t="s">
        <v>234</v>
      </c>
    </row>
    <row r="119" spans="1:108" x14ac:dyDescent="0.3">
      <c r="A119" s="2" t="s">
        <v>235</v>
      </c>
      <c r="B119" s="6">
        <v>0</v>
      </c>
      <c r="C119" s="6">
        <v>0</v>
      </c>
      <c r="D119" s="6">
        <v>1</v>
      </c>
      <c r="E119" s="6">
        <v>0</v>
      </c>
      <c r="F119" s="6">
        <v>0</v>
      </c>
      <c r="G119" s="7">
        <v>0</v>
      </c>
      <c r="H119" s="2">
        <v>2.5</v>
      </c>
      <c r="I119" s="3">
        <v>100</v>
      </c>
      <c r="J119" s="3">
        <v>1</v>
      </c>
      <c r="K119" s="3">
        <v>25</v>
      </c>
      <c r="L119" s="4">
        <v>1</v>
      </c>
      <c r="N119" s="19">
        <v>25</v>
      </c>
      <c r="O119" s="19">
        <v>9.92</v>
      </c>
      <c r="P119" s="19">
        <v>470</v>
      </c>
      <c r="Q119" s="19">
        <v>330</v>
      </c>
      <c r="R119" s="19">
        <f t="shared" si="2"/>
        <v>140</v>
      </c>
      <c r="S119" s="19" t="s">
        <v>1</v>
      </c>
      <c r="T119" s="2">
        <v>0.6512</v>
      </c>
      <c r="U119" s="3">
        <v>0.22559999999999999</v>
      </c>
      <c r="V119" s="3">
        <v>0</v>
      </c>
      <c r="W119" s="3">
        <v>0</v>
      </c>
      <c r="X119" s="3">
        <v>3.5700000000000003E-2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8.7400000000000005E-2</v>
      </c>
      <c r="AI119" s="3">
        <v>0</v>
      </c>
      <c r="AJ119" s="3">
        <v>0</v>
      </c>
      <c r="AK119" s="3">
        <v>0</v>
      </c>
      <c r="AL119" s="4">
        <v>0</v>
      </c>
      <c r="DD119" s="20" t="s">
        <v>236</v>
      </c>
    </row>
    <row r="120" spans="1:108" x14ac:dyDescent="0.3">
      <c r="A120" s="2" t="s">
        <v>237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7">
        <v>1</v>
      </c>
      <c r="H120" s="2">
        <v>1</v>
      </c>
      <c r="I120" s="3">
        <v>200</v>
      </c>
      <c r="J120" s="3">
        <v>1</v>
      </c>
      <c r="K120" s="3">
        <v>25</v>
      </c>
      <c r="L120" s="4">
        <v>0</v>
      </c>
      <c r="P120" s="19">
        <v>482</v>
      </c>
      <c r="Q120" s="19">
        <v>400</v>
      </c>
      <c r="R120" s="19">
        <f t="shared" si="2"/>
        <v>82</v>
      </c>
      <c r="S120" s="19" t="s">
        <v>1</v>
      </c>
      <c r="T120" s="2">
        <v>0.70689999999999997</v>
      </c>
      <c r="U120" s="3">
        <v>0.19109999999999999</v>
      </c>
      <c r="V120" s="3">
        <v>0.10199999999999999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4">
        <v>0</v>
      </c>
      <c r="AM120" s="2">
        <v>1</v>
      </c>
      <c r="AN120" s="3">
        <v>0</v>
      </c>
      <c r="AO120" s="3">
        <v>1</v>
      </c>
      <c r="AP120" s="3">
        <v>1</v>
      </c>
      <c r="AQ120" s="3">
        <v>1</v>
      </c>
      <c r="AR120" s="3">
        <v>1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1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1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4">
        <v>0</v>
      </c>
      <c r="BZ120" s="2">
        <v>1</v>
      </c>
      <c r="CA120" s="3">
        <v>0</v>
      </c>
      <c r="CB120" s="3">
        <v>1</v>
      </c>
      <c r="CC120" s="3">
        <v>1</v>
      </c>
      <c r="CD120" s="3">
        <v>1</v>
      </c>
      <c r="CE120" s="3">
        <v>0</v>
      </c>
      <c r="CF120" s="3">
        <v>1</v>
      </c>
      <c r="CG120" s="3">
        <v>0</v>
      </c>
      <c r="CH120" s="3">
        <v>0</v>
      </c>
      <c r="CI120" s="3">
        <v>1</v>
      </c>
      <c r="CJ120" s="3">
        <v>0</v>
      </c>
      <c r="CK120" s="3">
        <v>0</v>
      </c>
      <c r="CL120" s="3">
        <v>1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4">
        <v>0</v>
      </c>
      <c r="DD120" s="20" t="s">
        <v>238</v>
      </c>
    </row>
    <row r="121" spans="1:108" x14ac:dyDescent="0.3">
      <c r="A121" s="2" t="s">
        <v>239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7">
        <v>1</v>
      </c>
      <c r="H121" s="2">
        <v>3</v>
      </c>
      <c r="I121" s="3">
        <v>200</v>
      </c>
      <c r="J121" s="3">
        <v>0.72</v>
      </c>
      <c r="K121" s="3">
        <v>36</v>
      </c>
      <c r="L121" s="4">
        <v>0</v>
      </c>
      <c r="N121" s="19">
        <v>2.25</v>
      </c>
      <c r="O121" s="19">
        <v>22.7</v>
      </c>
      <c r="P121" s="19">
        <v>420</v>
      </c>
      <c r="Q121" s="19">
        <v>340</v>
      </c>
      <c r="R121" s="19">
        <f t="shared" si="2"/>
        <v>80</v>
      </c>
      <c r="S121" s="19" t="s">
        <v>1</v>
      </c>
      <c r="AM121" s="2">
        <v>1</v>
      </c>
      <c r="AN121" s="3">
        <v>0</v>
      </c>
      <c r="AO121" s="3">
        <v>1</v>
      </c>
      <c r="AP121" s="3">
        <v>0</v>
      </c>
      <c r="AQ121" s="3">
        <v>1</v>
      </c>
      <c r="AR121" s="3">
        <v>1</v>
      </c>
      <c r="AS121" s="3">
        <v>0</v>
      </c>
      <c r="AT121" s="3">
        <v>1</v>
      </c>
      <c r="AU121" s="3">
        <v>0</v>
      </c>
      <c r="AV121" s="3">
        <v>0</v>
      </c>
      <c r="AW121" s="3">
        <v>0</v>
      </c>
      <c r="AX121" s="3">
        <v>0</v>
      </c>
      <c r="AY121" s="3">
        <v>1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1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1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4">
        <v>0</v>
      </c>
      <c r="BZ121" s="2">
        <v>0</v>
      </c>
      <c r="CA121" s="3">
        <v>0</v>
      </c>
      <c r="CB121" s="3">
        <v>0</v>
      </c>
      <c r="CC121" s="3">
        <v>1</v>
      </c>
      <c r="CD121" s="3">
        <v>0</v>
      </c>
      <c r="CE121" s="3">
        <v>1</v>
      </c>
      <c r="CF121" s="3">
        <v>1</v>
      </c>
      <c r="CG121" s="3">
        <v>0</v>
      </c>
      <c r="CH121" s="3">
        <v>0</v>
      </c>
      <c r="CI121" s="3">
        <v>1</v>
      </c>
      <c r="CJ121" s="3">
        <v>0</v>
      </c>
      <c r="CK121" s="3">
        <v>1</v>
      </c>
      <c r="CL121" s="3">
        <v>1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4">
        <v>0</v>
      </c>
      <c r="DD121" s="20" t="s">
        <v>240</v>
      </c>
    </row>
    <row r="122" spans="1:108" x14ac:dyDescent="0.3">
      <c r="A122" s="2" t="s">
        <v>241</v>
      </c>
      <c r="B122" s="6">
        <v>1</v>
      </c>
      <c r="C122" s="6">
        <v>0</v>
      </c>
      <c r="D122" s="6">
        <v>0</v>
      </c>
      <c r="E122" s="6">
        <v>0</v>
      </c>
      <c r="F122" s="6">
        <v>0</v>
      </c>
      <c r="G122" s="7">
        <v>0</v>
      </c>
      <c r="H122" s="2">
        <v>5</v>
      </c>
      <c r="I122" s="3">
        <v>200</v>
      </c>
      <c r="J122" s="3">
        <v>0.4</v>
      </c>
      <c r="K122" s="3">
        <v>10</v>
      </c>
      <c r="L122" s="4">
        <v>0</v>
      </c>
      <c r="N122" s="19">
        <v>3.4</v>
      </c>
      <c r="O122" s="19">
        <v>18.98</v>
      </c>
      <c r="P122" s="19">
        <v>450</v>
      </c>
      <c r="Q122" s="19">
        <v>370</v>
      </c>
      <c r="R122" s="19">
        <f t="shared" si="2"/>
        <v>80</v>
      </c>
      <c r="S122" s="19" t="s">
        <v>1</v>
      </c>
      <c r="T122" s="2">
        <v>0.74099999999999999</v>
      </c>
      <c r="U122" s="3">
        <v>0.23499999999999999</v>
      </c>
      <c r="V122" s="3">
        <v>1.7000000000000001E-2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4">
        <v>0</v>
      </c>
      <c r="AM122" s="2">
        <v>1</v>
      </c>
      <c r="AN122" s="3">
        <v>0</v>
      </c>
      <c r="AO122" s="3">
        <v>1</v>
      </c>
      <c r="AP122" s="3">
        <v>1</v>
      </c>
      <c r="AQ122" s="3">
        <v>1</v>
      </c>
      <c r="AR122" s="3">
        <v>1</v>
      </c>
      <c r="AS122" s="3">
        <v>0</v>
      </c>
      <c r="AT122" s="3">
        <v>1</v>
      </c>
      <c r="AU122" s="3">
        <v>0</v>
      </c>
      <c r="AV122" s="3">
        <v>1</v>
      </c>
      <c r="AW122" s="3">
        <v>0</v>
      </c>
      <c r="AX122" s="3">
        <v>0</v>
      </c>
      <c r="AY122" s="3">
        <v>1</v>
      </c>
      <c r="AZ122" s="3">
        <v>0</v>
      </c>
      <c r="BA122" s="3">
        <v>0</v>
      </c>
      <c r="BB122" s="3">
        <v>0</v>
      </c>
      <c r="BC122" s="3">
        <v>0</v>
      </c>
      <c r="BD122" s="3">
        <v>1</v>
      </c>
      <c r="BE122" s="3">
        <v>0</v>
      </c>
      <c r="BF122" s="3">
        <v>1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4">
        <v>0</v>
      </c>
      <c r="BZ122" s="2">
        <v>0</v>
      </c>
      <c r="CA122" s="3">
        <v>0</v>
      </c>
      <c r="CB122" s="3">
        <v>1</v>
      </c>
      <c r="CC122" s="3">
        <v>1</v>
      </c>
      <c r="CD122" s="3">
        <v>1</v>
      </c>
      <c r="CE122" s="3">
        <v>1</v>
      </c>
      <c r="CF122" s="3">
        <v>1</v>
      </c>
      <c r="CG122" s="3">
        <v>0</v>
      </c>
      <c r="CH122" s="3">
        <v>0</v>
      </c>
      <c r="CI122" s="3">
        <v>1</v>
      </c>
      <c r="CJ122" s="3">
        <v>0</v>
      </c>
      <c r="CK122" s="3">
        <v>0</v>
      </c>
      <c r="CL122" s="3">
        <v>1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4">
        <v>0</v>
      </c>
      <c r="DD122" s="20" t="s">
        <v>242</v>
      </c>
    </row>
    <row r="123" spans="1:108" x14ac:dyDescent="0.3">
      <c r="A123" s="2" t="s">
        <v>241</v>
      </c>
      <c r="B123" s="6">
        <v>1</v>
      </c>
      <c r="C123" s="6">
        <v>0</v>
      </c>
      <c r="D123" s="6">
        <v>0</v>
      </c>
      <c r="E123" s="6">
        <v>0</v>
      </c>
      <c r="F123" s="6">
        <v>0</v>
      </c>
      <c r="G123" s="7">
        <v>0</v>
      </c>
      <c r="H123" s="2">
        <v>5</v>
      </c>
      <c r="I123" s="3">
        <v>200</v>
      </c>
      <c r="J123" s="3">
        <v>0.4</v>
      </c>
      <c r="K123" s="3">
        <v>0</v>
      </c>
      <c r="L123" s="4">
        <v>1</v>
      </c>
      <c r="N123" s="19">
        <v>10.8</v>
      </c>
      <c r="O123" s="19">
        <v>18.39</v>
      </c>
      <c r="P123" s="19">
        <v>450</v>
      </c>
      <c r="Q123" s="19">
        <v>370</v>
      </c>
      <c r="R123" s="19">
        <f t="shared" si="2"/>
        <v>80</v>
      </c>
      <c r="S123" s="19" t="s">
        <v>1</v>
      </c>
      <c r="T123" s="2">
        <v>0.71799999999999997</v>
      </c>
      <c r="U123" s="3">
        <v>0.26100000000000001</v>
      </c>
      <c r="V123" s="3">
        <v>0.02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4">
        <v>0</v>
      </c>
      <c r="AM123" s="2">
        <v>1</v>
      </c>
      <c r="AN123" s="3">
        <v>0</v>
      </c>
      <c r="AO123" s="3">
        <v>1</v>
      </c>
      <c r="AP123" s="3">
        <v>1</v>
      </c>
      <c r="AQ123" s="3">
        <v>1</v>
      </c>
      <c r="AR123" s="3">
        <v>1</v>
      </c>
      <c r="AS123" s="3">
        <v>0</v>
      </c>
      <c r="AT123" s="3">
        <v>1</v>
      </c>
      <c r="AU123" s="3">
        <v>0</v>
      </c>
      <c r="AV123" s="3">
        <v>1</v>
      </c>
      <c r="AW123" s="3">
        <v>0</v>
      </c>
      <c r="AX123" s="3">
        <v>0</v>
      </c>
      <c r="AY123" s="3">
        <v>1</v>
      </c>
      <c r="AZ123" s="3">
        <v>0</v>
      </c>
      <c r="BA123" s="3">
        <v>0</v>
      </c>
      <c r="BB123" s="3">
        <v>0</v>
      </c>
      <c r="BC123" s="3">
        <v>0</v>
      </c>
      <c r="BD123" s="3">
        <v>1</v>
      </c>
      <c r="BE123" s="3">
        <v>0</v>
      </c>
      <c r="BF123" s="3">
        <v>1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4">
        <v>0</v>
      </c>
      <c r="BZ123" s="2">
        <v>0</v>
      </c>
      <c r="CA123" s="3">
        <v>0</v>
      </c>
      <c r="CB123" s="3">
        <v>1</v>
      </c>
      <c r="CC123" s="3">
        <v>1</v>
      </c>
      <c r="CD123" s="3">
        <v>1</v>
      </c>
      <c r="CE123" s="3">
        <v>1</v>
      </c>
      <c r="CF123" s="3">
        <v>1</v>
      </c>
      <c r="CG123" s="3">
        <v>0</v>
      </c>
      <c r="CH123" s="3">
        <v>0</v>
      </c>
      <c r="CI123" s="3">
        <v>1</v>
      </c>
      <c r="CJ123" s="3">
        <v>0</v>
      </c>
      <c r="CK123" s="3">
        <v>0</v>
      </c>
      <c r="CL123" s="3">
        <v>1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4">
        <v>0</v>
      </c>
      <c r="DD123" s="20" t="s">
        <v>242</v>
      </c>
    </row>
    <row r="124" spans="1:108" x14ac:dyDescent="0.3">
      <c r="A124" s="2" t="s">
        <v>243</v>
      </c>
      <c r="B124" s="6">
        <v>0</v>
      </c>
      <c r="C124" s="6">
        <v>0</v>
      </c>
      <c r="D124" s="6">
        <v>1</v>
      </c>
      <c r="E124" s="6">
        <v>0</v>
      </c>
      <c r="F124" s="6">
        <v>0</v>
      </c>
      <c r="G124" s="7">
        <v>0</v>
      </c>
      <c r="H124" s="2">
        <v>5</v>
      </c>
      <c r="I124" s="3">
        <v>210</v>
      </c>
      <c r="J124" s="3">
        <v>4</v>
      </c>
      <c r="K124" s="3">
        <v>100</v>
      </c>
      <c r="L124" s="4">
        <v>0</v>
      </c>
      <c r="N124" s="19">
        <v>3.4</v>
      </c>
      <c r="O124" s="19">
        <v>46.6</v>
      </c>
      <c r="P124" s="19">
        <v>433</v>
      </c>
      <c r="Q124" s="19">
        <v>320</v>
      </c>
      <c r="R124" s="19">
        <f t="shared" si="2"/>
        <v>113</v>
      </c>
      <c r="S124" s="19" t="s">
        <v>1</v>
      </c>
      <c r="T124" s="2">
        <v>0.51100000000000001</v>
      </c>
      <c r="U124" s="3">
        <v>0.34699999999999998</v>
      </c>
      <c r="V124" s="3">
        <v>0.14199999999999999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4">
        <v>0</v>
      </c>
      <c r="AM124" s="2">
        <v>1</v>
      </c>
      <c r="AN124" s="3">
        <v>0</v>
      </c>
      <c r="AO124" s="3">
        <v>1</v>
      </c>
      <c r="AP124" s="3">
        <v>1</v>
      </c>
      <c r="AQ124" s="3">
        <v>1</v>
      </c>
      <c r="AR124" s="3">
        <v>1</v>
      </c>
      <c r="AS124" s="3">
        <v>0</v>
      </c>
      <c r="AT124" s="3">
        <v>1</v>
      </c>
      <c r="AU124" s="3">
        <v>0</v>
      </c>
      <c r="AV124" s="3">
        <v>1</v>
      </c>
      <c r="AW124" s="3">
        <v>0</v>
      </c>
      <c r="AX124" s="3">
        <v>0</v>
      </c>
      <c r="AY124" s="3">
        <v>1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1</v>
      </c>
      <c r="BG124" s="3">
        <v>0</v>
      </c>
      <c r="BH124" s="3">
        <v>0</v>
      </c>
      <c r="BI124" s="3">
        <v>1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4">
        <v>0</v>
      </c>
      <c r="BZ124" s="2">
        <v>0</v>
      </c>
      <c r="CA124" s="3">
        <v>0</v>
      </c>
      <c r="CB124" s="3">
        <v>1</v>
      </c>
      <c r="CC124" s="3">
        <v>0</v>
      </c>
      <c r="CD124" s="3">
        <v>0</v>
      </c>
      <c r="CE124" s="3">
        <v>1</v>
      </c>
      <c r="CF124" s="3">
        <v>1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1</v>
      </c>
      <c r="CM124" s="3">
        <v>0</v>
      </c>
      <c r="CN124" s="3">
        <v>1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4">
        <v>0</v>
      </c>
      <c r="DD124" s="20" t="s">
        <v>244</v>
      </c>
    </row>
    <row r="125" spans="1:108" x14ac:dyDescent="0.3">
      <c r="A125" s="2" t="s">
        <v>245</v>
      </c>
      <c r="B125" s="6">
        <v>0</v>
      </c>
      <c r="C125" s="6">
        <v>0</v>
      </c>
      <c r="D125" s="6">
        <v>0</v>
      </c>
      <c r="E125" s="6">
        <v>0</v>
      </c>
      <c r="F125" s="6">
        <v>1</v>
      </c>
      <c r="G125" s="7">
        <v>0</v>
      </c>
      <c r="H125" s="2">
        <v>1</v>
      </c>
      <c r="I125" s="3">
        <v>100</v>
      </c>
      <c r="J125" s="3">
        <v>1</v>
      </c>
      <c r="K125" s="3">
        <v>20</v>
      </c>
      <c r="L125" s="4">
        <v>0</v>
      </c>
      <c r="N125" s="19">
        <v>5</v>
      </c>
      <c r="O125" s="19">
        <v>6.9</v>
      </c>
      <c r="P125" s="19">
        <v>420</v>
      </c>
      <c r="Q125" s="19">
        <v>340</v>
      </c>
      <c r="R125" s="19">
        <f t="shared" si="2"/>
        <v>80</v>
      </c>
      <c r="S125" s="19" t="s">
        <v>1</v>
      </c>
      <c r="BZ125" s="2">
        <v>0</v>
      </c>
      <c r="CA125" s="3">
        <v>0</v>
      </c>
      <c r="CB125" s="3">
        <v>1</v>
      </c>
      <c r="CC125" s="3">
        <v>0</v>
      </c>
      <c r="CD125" s="3">
        <v>1</v>
      </c>
      <c r="CE125" s="3">
        <v>1</v>
      </c>
      <c r="CF125" s="3">
        <v>1</v>
      </c>
      <c r="CG125" s="3">
        <v>0</v>
      </c>
      <c r="CH125" s="3">
        <v>0</v>
      </c>
      <c r="CI125" s="3">
        <v>1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4">
        <v>0</v>
      </c>
      <c r="DD125" s="20" t="s">
        <v>246</v>
      </c>
    </row>
    <row r="126" spans="1:108" x14ac:dyDescent="0.3">
      <c r="A126" s="2" t="s">
        <v>247</v>
      </c>
      <c r="B126" s="6">
        <v>0</v>
      </c>
      <c r="C126" s="6">
        <v>0</v>
      </c>
      <c r="D126" s="6">
        <v>0</v>
      </c>
      <c r="E126" s="6">
        <v>1</v>
      </c>
      <c r="F126" s="6">
        <v>0</v>
      </c>
      <c r="G126" s="7">
        <v>0</v>
      </c>
      <c r="H126" s="2">
        <f>4/6</f>
        <v>0.66666666666666663</v>
      </c>
      <c r="I126" s="3">
        <v>180</v>
      </c>
      <c r="J126" s="3">
        <v>4</v>
      </c>
      <c r="K126" s="3">
        <v>300</v>
      </c>
      <c r="L126" s="4">
        <v>0</v>
      </c>
      <c r="N126" s="19">
        <v>21.5</v>
      </c>
      <c r="O126" s="19">
        <v>17.100000000000001</v>
      </c>
      <c r="P126" s="19">
        <v>420</v>
      </c>
      <c r="Q126" s="19">
        <v>340</v>
      </c>
      <c r="R126" s="19">
        <f t="shared" si="2"/>
        <v>80</v>
      </c>
      <c r="S126" s="19" t="s">
        <v>1</v>
      </c>
      <c r="T126" s="2">
        <v>0.48399999999999999</v>
      </c>
      <c r="U126" s="3">
        <v>0.33300000000000002</v>
      </c>
      <c r="V126" s="3">
        <v>0.16300000000000001</v>
      </c>
      <c r="W126" s="3">
        <v>0</v>
      </c>
      <c r="X126" s="3">
        <v>0</v>
      </c>
      <c r="Y126" s="3">
        <v>1.9E-2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4">
        <v>0</v>
      </c>
      <c r="AM126" s="2">
        <v>0</v>
      </c>
      <c r="AN126" s="3">
        <v>0</v>
      </c>
      <c r="AO126" s="3">
        <v>1</v>
      </c>
      <c r="AP126" s="3">
        <v>1</v>
      </c>
      <c r="AQ126" s="3">
        <v>1</v>
      </c>
      <c r="AR126" s="3">
        <v>1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1</v>
      </c>
      <c r="AZ126" s="3">
        <v>1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1</v>
      </c>
      <c r="BG126" s="3">
        <v>0</v>
      </c>
      <c r="BH126" s="3">
        <v>0</v>
      </c>
      <c r="BI126" s="3">
        <v>1</v>
      </c>
      <c r="BJ126" s="3">
        <v>0</v>
      </c>
      <c r="BK126" s="3">
        <v>1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4">
        <v>0</v>
      </c>
      <c r="DD126" s="20" t="s">
        <v>248</v>
      </c>
    </row>
    <row r="127" spans="1:108" x14ac:dyDescent="0.3">
      <c r="A127" s="2" t="s">
        <v>239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7">
        <v>1</v>
      </c>
      <c r="H127" s="2">
        <v>4</v>
      </c>
      <c r="I127" s="3">
        <v>180</v>
      </c>
      <c r="J127" s="3">
        <v>0.5</v>
      </c>
      <c r="K127" s="3">
        <v>25</v>
      </c>
      <c r="L127" s="4">
        <v>0</v>
      </c>
      <c r="M127" s="19">
        <v>38.6</v>
      </c>
      <c r="N127" s="19">
        <v>4.8</v>
      </c>
      <c r="O127" s="19">
        <v>30.6</v>
      </c>
      <c r="P127" s="19">
        <v>440</v>
      </c>
      <c r="Q127" s="19">
        <v>360</v>
      </c>
      <c r="R127" s="19">
        <f t="shared" si="2"/>
        <v>80</v>
      </c>
      <c r="S127" s="19" t="s">
        <v>1</v>
      </c>
      <c r="BZ127" s="2">
        <v>0</v>
      </c>
      <c r="CA127" s="3">
        <v>0</v>
      </c>
      <c r="CB127" s="3">
        <v>0</v>
      </c>
      <c r="CC127" s="3">
        <v>1</v>
      </c>
      <c r="CD127" s="3">
        <v>1</v>
      </c>
      <c r="CE127" s="3">
        <v>1</v>
      </c>
      <c r="CF127" s="3">
        <v>1</v>
      </c>
      <c r="CG127" s="3">
        <v>1</v>
      </c>
      <c r="CH127" s="3">
        <v>0</v>
      </c>
      <c r="CI127" s="3">
        <v>1</v>
      </c>
      <c r="CJ127" s="3">
        <v>1</v>
      </c>
      <c r="CK127" s="3">
        <v>1</v>
      </c>
      <c r="CL127" s="3">
        <v>1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4">
        <v>0</v>
      </c>
      <c r="DD127" s="20" t="s">
        <v>249</v>
      </c>
    </row>
    <row r="128" spans="1:108" x14ac:dyDescent="0.3">
      <c r="A128" s="2" t="s">
        <v>250</v>
      </c>
      <c r="B128" s="3">
        <v>0</v>
      </c>
      <c r="C128" s="3">
        <v>1</v>
      </c>
      <c r="D128" s="3">
        <v>0</v>
      </c>
      <c r="E128" s="3">
        <v>0</v>
      </c>
      <c r="F128" s="3">
        <v>0</v>
      </c>
      <c r="G128" s="4">
        <v>0</v>
      </c>
      <c r="H128" s="2">
        <v>5</v>
      </c>
      <c r="I128" s="3">
        <v>200</v>
      </c>
      <c r="J128" s="3">
        <v>2</v>
      </c>
      <c r="K128" s="3">
        <v>40</v>
      </c>
      <c r="L128" s="4">
        <v>0</v>
      </c>
      <c r="N128" s="19">
        <v>6</v>
      </c>
      <c r="O128" s="19">
        <v>13.2</v>
      </c>
      <c r="P128" s="19">
        <v>448</v>
      </c>
      <c r="Q128" s="19">
        <v>360</v>
      </c>
      <c r="R128" s="19">
        <f t="shared" si="2"/>
        <v>88</v>
      </c>
      <c r="S128" s="19" t="s">
        <v>1</v>
      </c>
      <c r="AM128" s="2">
        <v>1</v>
      </c>
      <c r="AN128" s="3">
        <v>0</v>
      </c>
      <c r="AO128" s="3">
        <v>1</v>
      </c>
      <c r="AP128" s="3">
        <v>1</v>
      </c>
      <c r="AQ128" s="3">
        <v>1</v>
      </c>
      <c r="AR128" s="3">
        <v>1</v>
      </c>
      <c r="AS128" s="3">
        <v>0</v>
      </c>
      <c r="AT128" s="3">
        <v>1</v>
      </c>
      <c r="AU128" s="3">
        <v>0</v>
      </c>
      <c r="AV128" s="3">
        <v>1</v>
      </c>
      <c r="AW128" s="3">
        <v>0</v>
      </c>
      <c r="AX128" s="3">
        <v>0</v>
      </c>
      <c r="AY128" s="3">
        <v>1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1</v>
      </c>
      <c r="BG128" s="3">
        <v>0</v>
      </c>
      <c r="BH128" s="3">
        <v>0</v>
      </c>
      <c r="BI128" s="3">
        <v>1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4">
        <v>0</v>
      </c>
      <c r="BZ128" s="2">
        <v>0</v>
      </c>
      <c r="CA128" s="3">
        <v>0</v>
      </c>
      <c r="CB128" s="3">
        <v>0</v>
      </c>
      <c r="CC128" s="3">
        <v>1</v>
      </c>
      <c r="CD128" s="3">
        <v>1</v>
      </c>
      <c r="CE128" s="3">
        <v>1</v>
      </c>
      <c r="CF128" s="3">
        <v>1</v>
      </c>
      <c r="CG128" s="3">
        <v>0</v>
      </c>
      <c r="CH128" s="3">
        <v>0</v>
      </c>
      <c r="CI128" s="3">
        <v>1</v>
      </c>
      <c r="CJ128" s="3">
        <v>0</v>
      </c>
      <c r="CK128" s="3">
        <v>0</v>
      </c>
      <c r="CL128" s="3">
        <v>1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4">
        <v>0</v>
      </c>
      <c r="DD128" s="20" t="s">
        <v>251</v>
      </c>
    </row>
    <row r="129" spans="1:108" x14ac:dyDescent="0.3">
      <c r="A129" s="2" t="s">
        <v>252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4">
        <v>1</v>
      </c>
      <c r="H129" s="2">
        <v>24</v>
      </c>
      <c r="I129" s="3">
        <v>200</v>
      </c>
      <c r="J129" s="3">
        <v>0.5</v>
      </c>
      <c r="K129" s="3">
        <v>50</v>
      </c>
      <c r="L129" s="4">
        <v>0</v>
      </c>
      <c r="N129" s="19">
        <v>2.5</v>
      </c>
      <c r="O129" s="19">
        <v>15</v>
      </c>
      <c r="P129" s="19">
        <v>395</v>
      </c>
      <c r="Q129" s="19">
        <v>320</v>
      </c>
      <c r="R129" s="19">
        <f t="shared" si="2"/>
        <v>75</v>
      </c>
      <c r="S129" s="19" t="s">
        <v>1</v>
      </c>
      <c r="T129" s="2">
        <v>0.63</v>
      </c>
      <c r="U129" s="3">
        <v>0.34</v>
      </c>
      <c r="V129" s="3">
        <v>0.04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4">
        <v>0</v>
      </c>
      <c r="AM129" s="2">
        <v>1</v>
      </c>
      <c r="AN129" s="3">
        <v>0</v>
      </c>
      <c r="AO129" s="3">
        <v>1</v>
      </c>
      <c r="AP129" s="3">
        <v>1</v>
      </c>
      <c r="AQ129" s="3">
        <v>1</v>
      </c>
      <c r="AR129" s="3">
        <v>1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1</v>
      </c>
      <c r="BE129" s="3">
        <v>0</v>
      </c>
      <c r="BF129" s="3">
        <v>1</v>
      </c>
      <c r="BG129" s="3">
        <v>0</v>
      </c>
      <c r="BH129" s="3">
        <v>0</v>
      </c>
      <c r="BI129" s="3">
        <v>1</v>
      </c>
      <c r="BJ129" s="3">
        <v>0</v>
      </c>
      <c r="BK129" s="3">
        <v>1</v>
      </c>
      <c r="BL129" s="3">
        <v>0</v>
      </c>
      <c r="BM129" s="3">
        <v>1</v>
      </c>
      <c r="BN129" s="3">
        <v>0</v>
      </c>
      <c r="BO129" s="3">
        <v>1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4">
        <v>0</v>
      </c>
      <c r="BZ129" s="2">
        <v>0</v>
      </c>
      <c r="CA129" s="3">
        <v>0</v>
      </c>
      <c r="CB129" s="3">
        <v>1</v>
      </c>
      <c r="CC129" s="3">
        <v>0</v>
      </c>
      <c r="CD129" s="3">
        <v>1</v>
      </c>
      <c r="CE129" s="3">
        <v>0</v>
      </c>
      <c r="CF129" s="3">
        <v>1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1</v>
      </c>
      <c r="CM129" s="3">
        <v>1</v>
      </c>
      <c r="CN129" s="3">
        <v>0</v>
      </c>
      <c r="CO129" s="3">
        <v>0</v>
      </c>
      <c r="CP129" s="3">
        <v>0</v>
      </c>
      <c r="CQ129" s="3">
        <v>1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4">
        <v>0</v>
      </c>
      <c r="DD129" s="20" t="s">
        <v>253</v>
      </c>
    </row>
    <row r="130" spans="1:108" x14ac:dyDescent="0.3">
      <c r="A130" s="2" t="s">
        <v>254</v>
      </c>
      <c r="B130" s="6">
        <v>0</v>
      </c>
      <c r="C130" s="6">
        <v>0</v>
      </c>
      <c r="D130" s="6">
        <v>1</v>
      </c>
      <c r="E130" s="6">
        <v>0</v>
      </c>
      <c r="F130" s="6">
        <v>0</v>
      </c>
      <c r="G130" s="7">
        <v>0</v>
      </c>
      <c r="H130" s="2">
        <v>12</v>
      </c>
      <c r="I130" s="3">
        <v>200</v>
      </c>
      <c r="J130" s="3">
        <v>2</v>
      </c>
      <c r="K130" s="3">
        <v>100</v>
      </c>
      <c r="L130" s="4">
        <v>0</v>
      </c>
      <c r="M130" s="19">
        <v>5</v>
      </c>
      <c r="N130" s="19">
        <v>4.24</v>
      </c>
      <c r="P130" s="19">
        <v>436</v>
      </c>
      <c r="Q130" s="19">
        <v>360</v>
      </c>
      <c r="R130" s="19">
        <f t="shared" si="2"/>
        <v>76</v>
      </c>
      <c r="S130" s="19" t="s">
        <v>1</v>
      </c>
      <c r="T130" s="2">
        <v>0.72089999999999999</v>
      </c>
      <c r="U130" s="3">
        <v>0.2586</v>
      </c>
      <c r="V130" s="3">
        <v>2.0400000000000001E-2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4">
        <v>0</v>
      </c>
      <c r="AM130" s="2">
        <v>0</v>
      </c>
      <c r="AN130" s="3">
        <v>0</v>
      </c>
      <c r="AO130" s="3">
        <v>1</v>
      </c>
      <c r="AP130" s="3">
        <v>1</v>
      </c>
      <c r="AQ130" s="3">
        <v>1</v>
      </c>
      <c r="AR130" s="3">
        <v>1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1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4">
        <v>0</v>
      </c>
      <c r="BZ130" s="2">
        <v>0</v>
      </c>
      <c r="CA130" s="3">
        <v>0</v>
      </c>
      <c r="CB130" s="3">
        <v>1</v>
      </c>
      <c r="CC130" s="3">
        <v>1</v>
      </c>
      <c r="CD130" s="3">
        <v>1</v>
      </c>
      <c r="CE130" s="3">
        <v>1</v>
      </c>
      <c r="CF130" s="3">
        <v>1</v>
      </c>
      <c r="CG130" s="3">
        <v>0</v>
      </c>
      <c r="CH130" s="3">
        <v>0</v>
      </c>
      <c r="CI130" s="3">
        <v>1</v>
      </c>
      <c r="CJ130" s="3">
        <v>0</v>
      </c>
      <c r="CK130" s="3">
        <v>0</v>
      </c>
      <c r="CL130" s="3">
        <v>1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4">
        <v>0</v>
      </c>
      <c r="DD130" s="20" t="s">
        <v>255</v>
      </c>
    </row>
    <row r="131" spans="1:108" x14ac:dyDescent="0.3">
      <c r="A131" s="2" t="s">
        <v>256</v>
      </c>
      <c r="B131" s="3">
        <v>0</v>
      </c>
      <c r="C131" s="3">
        <v>0</v>
      </c>
      <c r="D131" s="3">
        <v>0</v>
      </c>
      <c r="E131" s="3">
        <v>0</v>
      </c>
      <c r="F131" s="3">
        <v>1</v>
      </c>
      <c r="G131" s="4">
        <v>0</v>
      </c>
      <c r="H131" s="2">
        <v>4</v>
      </c>
      <c r="I131" s="3">
        <v>180</v>
      </c>
      <c r="J131" s="3">
        <v>1</v>
      </c>
      <c r="K131" s="3">
        <v>100</v>
      </c>
      <c r="L131" s="4">
        <v>0</v>
      </c>
      <c r="N131" s="19">
        <v>5.4</v>
      </c>
      <c r="O131" s="19">
        <v>17.8</v>
      </c>
      <c r="P131" s="19">
        <v>415</v>
      </c>
      <c r="Q131" s="19">
        <v>310</v>
      </c>
      <c r="R131" s="19">
        <f t="shared" si="2"/>
        <v>105</v>
      </c>
      <c r="S131" s="19" t="s">
        <v>2</v>
      </c>
      <c r="AK131" s="3">
        <v>0</v>
      </c>
      <c r="AL131" s="4">
        <v>0</v>
      </c>
      <c r="BZ131" s="2">
        <v>1</v>
      </c>
      <c r="CA131" s="3">
        <v>0</v>
      </c>
      <c r="CB131" s="3">
        <v>1</v>
      </c>
      <c r="CC131" s="3">
        <v>1</v>
      </c>
      <c r="CD131" s="3">
        <v>1</v>
      </c>
      <c r="CE131" s="3">
        <v>1</v>
      </c>
      <c r="CF131" s="3">
        <v>1</v>
      </c>
      <c r="CG131" s="3">
        <v>0</v>
      </c>
      <c r="CH131" s="3">
        <v>0</v>
      </c>
      <c r="CI131" s="3">
        <v>1</v>
      </c>
      <c r="CJ131" s="3">
        <v>0</v>
      </c>
      <c r="CK131" s="3">
        <v>0</v>
      </c>
      <c r="CL131" s="3">
        <v>1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4">
        <v>0</v>
      </c>
      <c r="DD131" s="20" t="s">
        <v>257</v>
      </c>
    </row>
    <row r="132" spans="1:108" x14ac:dyDescent="0.3">
      <c r="A132" s="2" t="s">
        <v>258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7">
        <v>1</v>
      </c>
      <c r="H132" s="2">
        <v>6</v>
      </c>
      <c r="I132" s="3">
        <v>250</v>
      </c>
      <c r="J132" s="3">
        <v>1</v>
      </c>
      <c r="K132" s="3">
        <v>30</v>
      </c>
      <c r="L132" s="4">
        <v>0</v>
      </c>
      <c r="N132" s="19">
        <v>2.5</v>
      </c>
      <c r="O132" s="19">
        <v>7.87</v>
      </c>
      <c r="P132" s="19">
        <v>443</v>
      </c>
      <c r="Q132" s="19">
        <v>360</v>
      </c>
      <c r="R132" s="19">
        <f t="shared" si="2"/>
        <v>83</v>
      </c>
      <c r="S132" s="19" t="s">
        <v>1</v>
      </c>
      <c r="T132" s="2">
        <v>0.92559999999999998</v>
      </c>
      <c r="U132" s="3">
        <v>1.37E-2</v>
      </c>
      <c r="V132" s="3">
        <v>2.4199999999999999E-2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4">
        <v>0</v>
      </c>
      <c r="BZ132" s="2">
        <v>0</v>
      </c>
      <c r="CA132" s="3">
        <v>0</v>
      </c>
      <c r="CB132" s="3">
        <v>0</v>
      </c>
      <c r="CC132" s="3">
        <v>1</v>
      </c>
      <c r="CD132" s="3">
        <v>1</v>
      </c>
      <c r="CE132" s="3">
        <v>1</v>
      </c>
      <c r="CF132" s="3">
        <v>1</v>
      </c>
      <c r="CG132" s="3">
        <v>0</v>
      </c>
      <c r="CH132" s="3">
        <v>0</v>
      </c>
      <c r="CI132" s="3">
        <v>1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4">
        <v>0</v>
      </c>
      <c r="DD132" s="20" t="s">
        <v>259</v>
      </c>
    </row>
    <row r="133" spans="1:108" x14ac:dyDescent="0.3">
      <c r="A133" s="2" t="s">
        <v>258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7">
        <v>1</v>
      </c>
      <c r="H133" s="2">
        <v>6</v>
      </c>
      <c r="I133" s="3">
        <v>250</v>
      </c>
      <c r="J133" s="3">
        <v>1</v>
      </c>
      <c r="K133" s="3">
        <v>30</v>
      </c>
      <c r="L133" s="4">
        <v>1</v>
      </c>
      <c r="O133" s="19">
        <v>17.600000000000001</v>
      </c>
      <c r="P133" s="19">
        <v>445</v>
      </c>
      <c r="Q133" s="19">
        <v>370</v>
      </c>
      <c r="R133" s="19">
        <f t="shared" si="2"/>
        <v>75</v>
      </c>
      <c r="S133" s="19" t="s">
        <v>1</v>
      </c>
      <c r="T133" s="2">
        <v>0.4919</v>
      </c>
      <c r="U133" s="3">
        <v>0.378</v>
      </c>
      <c r="V133" s="3">
        <v>0.13009999999999999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4">
        <v>0</v>
      </c>
      <c r="BZ133" s="2">
        <v>0</v>
      </c>
      <c r="CA133" s="3">
        <v>0</v>
      </c>
      <c r="CB133" s="3">
        <v>0</v>
      </c>
      <c r="CC133" s="3">
        <v>1</v>
      </c>
      <c r="CD133" s="3">
        <v>1</v>
      </c>
      <c r="CE133" s="3">
        <v>1</v>
      </c>
      <c r="CF133" s="3">
        <v>1</v>
      </c>
      <c r="CG133" s="3">
        <v>0</v>
      </c>
      <c r="CH133" s="3">
        <v>0</v>
      </c>
      <c r="CI133" s="3">
        <v>1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4">
        <v>0</v>
      </c>
      <c r="DD133" s="20" t="s">
        <v>259</v>
      </c>
    </row>
    <row r="134" spans="1:108" x14ac:dyDescent="0.3">
      <c r="A134" s="2" t="s">
        <v>260</v>
      </c>
      <c r="B134" s="6">
        <v>0</v>
      </c>
      <c r="C134" s="6">
        <v>0</v>
      </c>
      <c r="D134" s="6">
        <v>1</v>
      </c>
      <c r="E134" s="6">
        <v>0</v>
      </c>
      <c r="F134" s="6">
        <v>0</v>
      </c>
      <c r="G134" s="7">
        <v>0</v>
      </c>
      <c r="H134" s="2">
        <v>6</v>
      </c>
      <c r="I134" s="3">
        <v>200</v>
      </c>
      <c r="J134" s="3">
        <v>2</v>
      </c>
      <c r="K134" s="3">
        <v>25</v>
      </c>
      <c r="L134" s="4">
        <v>0</v>
      </c>
      <c r="N134" s="19">
        <v>3.6</v>
      </c>
      <c r="O134" s="19">
        <v>7.1</v>
      </c>
      <c r="P134" s="19">
        <v>440</v>
      </c>
      <c r="Q134" s="19">
        <v>365</v>
      </c>
      <c r="R134" s="19">
        <f t="shared" si="2"/>
        <v>75</v>
      </c>
      <c r="S134" s="19" t="s">
        <v>1</v>
      </c>
      <c r="DD134" s="20" t="s">
        <v>261</v>
      </c>
    </row>
    <row r="135" spans="1:108" x14ac:dyDescent="0.3">
      <c r="A135" s="2" t="s">
        <v>262</v>
      </c>
      <c r="B135" s="6">
        <v>1</v>
      </c>
      <c r="C135" s="6">
        <v>0</v>
      </c>
      <c r="D135" s="6">
        <v>0</v>
      </c>
      <c r="E135" s="6">
        <v>0</v>
      </c>
      <c r="F135" s="6">
        <v>0</v>
      </c>
      <c r="G135" s="7">
        <v>0</v>
      </c>
      <c r="H135" s="2">
        <v>12</v>
      </c>
      <c r="I135" s="3">
        <v>130</v>
      </c>
      <c r="J135" s="3">
        <v>50</v>
      </c>
      <c r="K135" s="3">
        <v>150</v>
      </c>
      <c r="L135" s="4">
        <v>0</v>
      </c>
      <c r="N135" s="19">
        <v>4.8</v>
      </c>
      <c r="O135" s="19">
        <v>13.3</v>
      </c>
      <c r="P135" s="19">
        <v>402</v>
      </c>
      <c r="Q135" s="19">
        <v>330</v>
      </c>
      <c r="R135" s="19">
        <f t="shared" si="2"/>
        <v>72</v>
      </c>
      <c r="S135" s="19" t="s">
        <v>1</v>
      </c>
      <c r="AM135" s="2">
        <v>0</v>
      </c>
      <c r="AN135" s="3">
        <v>0</v>
      </c>
      <c r="AO135" s="3">
        <v>1</v>
      </c>
      <c r="AP135" s="3">
        <v>0</v>
      </c>
      <c r="AQ135" s="3">
        <v>1</v>
      </c>
      <c r="AR135" s="3">
        <v>1</v>
      </c>
      <c r="AS135" s="3">
        <v>0</v>
      </c>
      <c r="AT135" s="3">
        <v>1</v>
      </c>
      <c r="AU135" s="3">
        <v>0</v>
      </c>
      <c r="AV135" s="3">
        <v>1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1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1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4">
        <v>0</v>
      </c>
      <c r="BZ135" s="2">
        <v>0</v>
      </c>
      <c r="CA135" s="3">
        <v>1</v>
      </c>
      <c r="CB135" s="3">
        <v>0</v>
      </c>
      <c r="CC135" s="3">
        <v>0</v>
      </c>
      <c r="CD135" s="3">
        <v>1</v>
      </c>
      <c r="CE135" s="3">
        <v>0</v>
      </c>
      <c r="CF135" s="3">
        <v>1</v>
      </c>
      <c r="CG135" s="3">
        <v>0</v>
      </c>
      <c r="CH135" s="3">
        <v>0</v>
      </c>
      <c r="CI135" s="3">
        <v>1</v>
      </c>
      <c r="CJ135" s="3">
        <v>0</v>
      </c>
      <c r="CK135" s="3">
        <v>0</v>
      </c>
      <c r="CL135" s="3">
        <v>0</v>
      </c>
      <c r="CM135" s="3">
        <v>1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4">
        <v>0</v>
      </c>
      <c r="DD135" s="20" t="s">
        <v>263</v>
      </c>
    </row>
    <row r="136" spans="1:108" x14ac:dyDescent="0.3">
      <c r="A136" s="2" t="s">
        <v>264</v>
      </c>
      <c r="B136" s="6">
        <v>0</v>
      </c>
      <c r="C136" s="6">
        <v>0</v>
      </c>
      <c r="D136" s="6">
        <v>0</v>
      </c>
      <c r="E136" s="6">
        <v>1</v>
      </c>
      <c r="F136" s="6">
        <v>0</v>
      </c>
      <c r="G136" s="7">
        <v>0</v>
      </c>
      <c r="H136" s="2">
        <v>3</v>
      </c>
      <c r="I136" s="3">
        <v>190</v>
      </c>
      <c r="J136" s="3">
        <v>0.04</v>
      </c>
      <c r="K136" s="3">
        <v>4</v>
      </c>
      <c r="L136" s="4">
        <v>1</v>
      </c>
      <c r="N136" s="19">
        <v>5</v>
      </c>
      <c r="O136" s="19">
        <v>13.9</v>
      </c>
      <c r="P136" s="19">
        <v>450</v>
      </c>
      <c r="Q136" s="19">
        <v>370</v>
      </c>
      <c r="R136" s="19">
        <f t="shared" si="2"/>
        <v>80</v>
      </c>
      <c r="S136" s="19" t="s">
        <v>1</v>
      </c>
      <c r="AM136" s="2">
        <v>0</v>
      </c>
      <c r="AN136" s="3">
        <v>0</v>
      </c>
      <c r="AO136" s="3">
        <v>1</v>
      </c>
      <c r="AP136" s="3">
        <v>1</v>
      </c>
      <c r="AQ136" s="3">
        <v>1</v>
      </c>
      <c r="AR136" s="3">
        <v>1</v>
      </c>
      <c r="AS136" s="3">
        <v>0</v>
      </c>
      <c r="AT136" s="3">
        <v>1</v>
      </c>
      <c r="AU136" s="3">
        <v>0</v>
      </c>
      <c r="AV136" s="3">
        <v>1</v>
      </c>
      <c r="AW136" s="3">
        <v>0</v>
      </c>
      <c r="AX136" s="3">
        <v>0</v>
      </c>
      <c r="AY136" s="3">
        <v>1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1</v>
      </c>
      <c r="BG136" s="3">
        <v>0</v>
      </c>
      <c r="BH136" s="3">
        <v>0</v>
      </c>
      <c r="BI136" s="3">
        <v>1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4">
        <v>0</v>
      </c>
      <c r="BZ136" s="2">
        <v>0</v>
      </c>
      <c r="CA136" s="3">
        <v>0</v>
      </c>
      <c r="CB136" s="3">
        <v>1</v>
      </c>
      <c r="CC136" s="3">
        <v>1</v>
      </c>
      <c r="CD136" s="3">
        <v>1</v>
      </c>
      <c r="CE136" s="3">
        <v>1</v>
      </c>
      <c r="CF136" s="3">
        <v>1</v>
      </c>
      <c r="CG136" s="3">
        <v>0</v>
      </c>
      <c r="CH136" s="3">
        <v>0</v>
      </c>
      <c r="CI136" s="3">
        <v>1</v>
      </c>
      <c r="CJ136" s="3">
        <v>0</v>
      </c>
      <c r="CK136" s="3">
        <v>0</v>
      </c>
      <c r="CL136" s="3">
        <v>1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4">
        <v>0</v>
      </c>
      <c r="DD136" s="20" t="s">
        <v>265</v>
      </c>
    </row>
    <row r="137" spans="1:108" x14ac:dyDescent="0.3">
      <c r="A137" s="2" t="s">
        <v>266</v>
      </c>
      <c r="B137" s="6">
        <v>0</v>
      </c>
      <c r="C137" s="6">
        <v>0</v>
      </c>
      <c r="D137" s="6">
        <v>0</v>
      </c>
      <c r="E137" s="6">
        <v>0</v>
      </c>
      <c r="F137" s="6">
        <v>1</v>
      </c>
      <c r="G137" s="7">
        <v>0</v>
      </c>
      <c r="H137" s="2">
        <v>6</v>
      </c>
      <c r="I137" s="3">
        <v>220</v>
      </c>
      <c r="J137" s="3">
        <v>1</v>
      </c>
      <c r="K137" s="3">
        <v>20</v>
      </c>
      <c r="L137" s="4">
        <v>0</v>
      </c>
      <c r="N137" s="19">
        <v>6.99</v>
      </c>
      <c r="O137" s="19">
        <v>39</v>
      </c>
      <c r="P137" s="19">
        <v>425</v>
      </c>
      <c r="Q137" s="19">
        <v>340</v>
      </c>
      <c r="R137" s="19">
        <f t="shared" si="2"/>
        <v>85</v>
      </c>
      <c r="S137" s="19" t="s">
        <v>1</v>
      </c>
      <c r="T137" s="2">
        <v>0.91679999999999995</v>
      </c>
      <c r="U137" s="3">
        <v>8.3199999999999996E-2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4">
        <v>0</v>
      </c>
      <c r="AM137" s="2">
        <v>1</v>
      </c>
      <c r="AN137" s="3">
        <v>0</v>
      </c>
      <c r="AO137" s="3">
        <v>1</v>
      </c>
      <c r="AP137" s="3">
        <v>1</v>
      </c>
      <c r="AQ137" s="3">
        <v>0</v>
      </c>
      <c r="AR137" s="3">
        <v>1</v>
      </c>
      <c r="AS137" s="3">
        <v>0</v>
      </c>
      <c r="AT137" s="3">
        <v>1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1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4">
        <v>0</v>
      </c>
      <c r="DD137" s="20" t="s">
        <v>267</v>
      </c>
    </row>
    <row r="138" spans="1:108" x14ac:dyDescent="0.3">
      <c r="A138" s="2" t="s">
        <v>266</v>
      </c>
      <c r="B138" s="6">
        <v>0</v>
      </c>
      <c r="C138" s="6">
        <v>0</v>
      </c>
      <c r="D138" s="6">
        <v>0</v>
      </c>
      <c r="E138" s="6">
        <v>0</v>
      </c>
      <c r="F138" s="6">
        <v>1</v>
      </c>
      <c r="G138" s="7">
        <v>0</v>
      </c>
      <c r="H138" s="2">
        <v>6</v>
      </c>
      <c r="I138" s="3">
        <v>220</v>
      </c>
      <c r="J138" s="3">
        <v>1</v>
      </c>
      <c r="K138" s="3">
        <v>20</v>
      </c>
      <c r="L138" s="4">
        <v>1</v>
      </c>
      <c r="N138" s="19">
        <v>1.93</v>
      </c>
      <c r="O138" s="19">
        <v>33</v>
      </c>
      <c r="P138" s="19">
        <v>475</v>
      </c>
      <c r="Q138" s="19">
        <v>360</v>
      </c>
      <c r="R138" s="19">
        <f t="shared" si="2"/>
        <v>115</v>
      </c>
      <c r="S138" s="19" t="s">
        <v>1</v>
      </c>
      <c r="T138" s="2">
        <v>0.94</v>
      </c>
      <c r="U138" s="3">
        <v>3.2800000000000003E-2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2.7199999999999998E-2</v>
      </c>
      <c r="AK138" s="3">
        <v>0</v>
      </c>
      <c r="AL138" s="4">
        <v>0</v>
      </c>
      <c r="AM138" s="2">
        <v>1</v>
      </c>
      <c r="AN138" s="3">
        <v>0</v>
      </c>
      <c r="AO138" s="3">
        <v>1</v>
      </c>
      <c r="AP138" s="3">
        <v>1</v>
      </c>
      <c r="AQ138" s="3">
        <v>0</v>
      </c>
      <c r="AR138" s="3">
        <v>1</v>
      </c>
      <c r="AS138" s="3">
        <v>0</v>
      </c>
      <c r="AT138" s="3">
        <v>1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1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4">
        <v>0</v>
      </c>
      <c r="DD138" s="20" t="s">
        <v>267</v>
      </c>
    </row>
    <row r="139" spans="1:108" x14ac:dyDescent="0.3">
      <c r="A139" s="2" t="s">
        <v>266</v>
      </c>
      <c r="B139" s="6">
        <v>0</v>
      </c>
      <c r="C139" s="6">
        <v>0</v>
      </c>
      <c r="D139" s="6">
        <v>0</v>
      </c>
      <c r="E139" s="6">
        <v>0</v>
      </c>
      <c r="F139" s="6">
        <v>1</v>
      </c>
      <c r="G139" s="7">
        <v>0</v>
      </c>
      <c r="H139" s="2">
        <v>6</v>
      </c>
      <c r="I139" s="3">
        <v>220</v>
      </c>
      <c r="J139" s="3">
        <v>1</v>
      </c>
      <c r="K139" s="3">
        <v>20</v>
      </c>
      <c r="L139" s="4">
        <v>1</v>
      </c>
      <c r="N139" s="19">
        <v>4.9400000000000004</v>
      </c>
      <c r="O139" s="19">
        <v>24</v>
      </c>
      <c r="P139" s="19">
        <v>485</v>
      </c>
      <c r="Q139" s="19">
        <v>360</v>
      </c>
      <c r="R139" s="19">
        <f t="shared" si="2"/>
        <v>125</v>
      </c>
      <c r="S139" s="19" t="s">
        <v>1</v>
      </c>
      <c r="T139" s="2">
        <v>0.64859999999999995</v>
      </c>
      <c r="U139" s="3">
        <v>0</v>
      </c>
      <c r="V139" s="3">
        <v>0</v>
      </c>
      <c r="W139" s="3">
        <v>0</v>
      </c>
      <c r="X139" s="3">
        <v>0.35139999999999999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4">
        <v>0</v>
      </c>
      <c r="AM139" s="2">
        <v>1</v>
      </c>
      <c r="AN139" s="3">
        <v>0</v>
      </c>
      <c r="AO139" s="3">
        <v>1</v>
      </c>
      <c r="AP139" s="3">
        <v>0</v>
      </c>
      <c r="AQ139" s="3">
        <v>0</v>
      </c>
      <c r="AR139" s="3">
        <v>1</v>
      </c>
      <c r="AS139" s="3">
        <v>0</v>
      </c>
      <c r="AT139" s="3">
        <v>1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1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4">
        <v>0</v>
      </c>
      <c r="DD139" s="20" t="s">
        <v>267</v>
      </c>
    </row>
    <row r="140" spans="1:108" x14ac:dyDescent="0.3">
      <c r="A140" s="2" t="s">
        <v>268</v>
      </c>
      <c r="B140" s="6">
        <v>1</v>
      </c>
      <c r="C140" s="6">
        <v>0</v>
      </c>
      <c r="D140" s="6">
        <v>0</v>
      </c>
      <c r="E140" s="6">
        <v>0</v>
      </c>
      <c r="F140" s="6">
        <v>0</v>
      </c>
      <c r="G140" s="7">
        <v>0</v>
      </c>
      <c r="H140" s="2">
        <v>4</v>
      </c>
      <c r="I140" s="3">
        <v>150</v>
      </c>
      <c r="J140" s="3">
        <v>8</v>
      </c>
      <c r="K140" s="3">
        <v>10</v>
      </c>
      <c r="L140" s="4">
        <v>1</v>
      </c>
      <c r="N140" s="19">
        <v>1.27</v>
      </c>
      <c r="O140" s="19">
        <v>32</v>
      </c>
      <c r="P140" s="19">
        <v>420</v>
      </c>
      <c r="Q140" s="19">
        <v>330</v>
      </c>
      <c r="R140" s="19">
        <f t="shared" si="2"/>
        <v>90</v>
      </c>
      <c r="S140" s="19" t="s">
        <v>1</v>
      </c>
      <c r="T140" s="2">
        <v>0.72499999999999998</v>
      </c>
      <c r="U140" s="3">
        <v>0.2109</v>
      </c>
      <c r="V140" s="3">
        <v>2.29E-2</v>
      </c>
      <c r="W140" s="3">
        <v>0</v>
      </c>
      <c r="X140" s="3">
        <v>0</v>
      </c>
      <c r="Y140" s="3">
        <v>4.1000000000000002E-2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4">
        <v>0</v>
      </c>
      <c r="AM140" s="2">
        <v>0</v>
      </c>
      <c r="AN140" s="3">
        <v>0</v>
      </c>
      <c r="AO140" s="3">
        <v>1</v>
      </c>
      <c r="AP140" s="3">
        <v>1</v>
      </c>
      <c r="AQ140" s="3">
        <v>1</v>
      </c>
      <c r="AR140" s="3">
        <v>1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1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1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4">
        <v>0</v>
      </c>
      <c r="BZ140" s="2">
        <v>1</v>
      </c>
      <c r="CA140" s="3">
        <v>0</v>
      </c>
      <c r="CB140" s="3">
        <v>0</v>
      </c>
      <c r="CC140" s="3">
        <v>1</v>
      </c>
      <c r="CD140" s="3">
        <v>1</v>
      </c>
      <c r="CE140" s="3">
        <v>1</v>
      </c>
      <c r="CF140" s="3">
        <v>1</v>
      </c>
      <c r="CG140" s="3">
        <v>0</v>
      </c>
      <c r="CH140" s="3">
        <v>0</v>
      </c>
      <c r="CI140" s="3">
        <v>1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1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1</v>
      </c>
      <c r="DB140" s="3">
        <v>0</v>
      </c>
      <c r="DC140" s="4">
        <v>0</v>
      </c>
      <c r="DD140" s="20" t="s">
        <v>269</v>
      </c>
    </row>
    <row r="141" spans="1:108" x14ac:dyDescent="0.3">
      <c r="A141" s="2" t="s">
        <v>270</v>
      </c>
      <c r="B141" s="6">
        <v>0</v>
      </c>
      <c r="C141" s="6">
        <v>1</v>
      </c>
      <c r="D141" s="6">
        <v>0</v>
      </c>
      <c r="E141" s="6">
        <v>0</v>
      </c>
      <c r="F141" s="6">
        <v>0</v>
      </c>
      <c r="G141" s="7">
        <v>0</v>
      </c>
      <c r="H141" s="2">
        <v>36</v>
      </c>
      <c r="I141" s="3">
        <v>220</v>
      </c>
      <c r="L141" s="4">
        <v>0</v>
      </c>
      <c r="N141" s="19">
        <v>3</v>
      </c>
      <c r="O141" s="19">
        <v>8.3000000000000007</v>
      </c>
      <c r="P141" s="19">
        <v>402</v>
      </c>
      <c r="Q141" s="19">
        <v>330</v>
      </c>
      <c r="R141" s="19">
        <f t="shared" si="2"/>
        <v>72</v>
      </c>
      <c r="S141" s="19" t="s">
        <v>1</v>
      </c>
      <c r="T141" s="2">
        <v>0.64319999999999999</v>
      </c>
      <c r="U141" s="3">
        <v>0.25109999999999999</v>
      </c>
      <c r="V141" s="3">
        <v>5.6899999999999999E-2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4">
        <v>0</v>
      </c>
      <c r="AM141" s="2">
        <v>1</v>
      </c>
      <c r="AN141" s="3">
        <v>0</v>
      </c>
      <c r="AO141" s="3">
        <v>1</v>
      </c>
      <c r="AP141" s="3">
        <v>1</v>
      </c>
      <c r="AQ141" s="3">
        <v>1</v>
      </c>
      <c r="AR141" s="3">
        <v>1</v>
      </c>
      <c r="AS141" s="3">
        <v>0</v>
      </c>
      <c r="AT141" s="3">
        <v>1</v>
      </c>
      <c r="AU141" s="3">
        <v>0</v>
      </c>
      <c r="AV141" s="3">
        <v>1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1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1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4">
        <v>0</v>
      </c>
      <c r="BZ141" s="2">
        <v>1</v>
      </c>
      <c r="CA141" s="3">
        <v>0</v>
      </c>
      <c r="CB141" s="3">
        <v>1</v>
      </c>
      <c r="CC141" s="3">
        <v>1</v>
      </c>
      <c r="CD141" s="3">
        <v>1</v>
      </c>
      <c r="CE141" s="3">
        <v>1</v>
      </c>
      <c r="CF141" s="3">
        <v>1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1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4">
        <v>0</v>
      </c>
      <c r="DD141" s="20" t="s">
        <v>271</v>
      </c>
    </row>
    <row r="142" spans="1:108" x14ac:dyDescent="0.3">
      <c r="A142" s="2" t="s">
        <v>272</v>
      </c>
      <c r="B142" s="6">
        <v>0</v>
      </c>
      <c r="C142" s="6">
        <v>0</v>
      </c>
      <c r="D142" s="6">
        <v>1</v>
      </c>
      <c r="E142" s="6">
        <v>0</v>
      </c>
      <c r="F142" s="6">
        <v>0</v>
      </c>
      <c r="G142" s="7">
        <v>0</v>
      </c>
      <c r="H142" s="2">
        <v>5</v>
      </c>
      <c r="I142" s="3">
        <v>120</v>
      </c>
      <c r="J142" s="3">
        <v>60</v>
      </c>
      <c r="K142" s="3">
        <v>0</v>
      </c>
      <c r="L142" s="4">
        <v>0</v>
      </c>
      <c r="N142" s="19">
        <v>1.57</v>
      </c>
      <c r="O142" s="19">
        <v>43</v>
      </c>
      <c r="P142" s="19">
        <v>400</v>
      </c>
      <c r="Q142" s="19">
        <v>325</v>
      </c>
      <c r="R142" s="19">
        <f t="shared" si="2"/>
        <v>75</v>
      </c>
      <c r="S142" s="19" t="s">
        <v>1</v>
      </c>
      <c r="BZ142" s="2">
        <v>0</v>
      </c>
      <c r="CA142" s="3">
        <v>0</v>
      </c>
      <c r="CB142" s="3">
        <v>0</v>
      </c>
      <c r="CC142" s="3">
        <v>0</v>
      </c>
      <c r="CD142" s="3">
        <v>1</v>
      </c>
      <c r="CE142" s="3">
        <v>1</v>
      </c>
      <c r="CF142" s="3">
        <v>1</v>
      </c>
      <c r="CG142" s="3">
        <v>0</v>
      </c>
      <c r="CH142" s="3">
        <v>0</v>
      </c>
      <c r="CI142" s="3">
        <v>1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4">
        <v>0</v>
      </c>
      <c r="DD142" s="20" t="s">
        <v>273</v>
      </c>
    </row>
    <row r="143" spans="1:108" x14ac:dyDescent="0.3">
      <c r="A143" s="2" t="s">
        <v>274</v>
      </c>
      <c r="B143" s="6">
        <v>0</v>
      </c>
      <c r="C143" s="6">
        <v>0</v>
      </c>
      <c r="D143" s="6">
        <v>0</v>
      </c>
      <c r="E143" s="6">
        <v>0</v>
      </c>
      <c r="F143" s="6">
        <v>1</v>
      </c>
      <c r="G143" s="7">
        <v>0</v>
      </c>
      <c r="H143" s="2">
        <v>6</v>
      </c>
      <c r="I143" s="3">
        <v>250</v>
      </c>
      <c r="J143" s="3">
        <v>1</v>
      </c>
      <c r="K143" s="3">
        <v>25</v>
      </c>
      <c r="L143" s="4">
        <v>0</v>
      </c>
      <c r="N143" s="19">
        <v>2</v>
      </c>
      <c r="S143" s="19" t="s">
        <v>1</v>
      </c>
      <c r="T143" s="2">
        <v>0.75419999999999998</v>
      </c>
      <c r="U143" s="3">
        <v>0.24179999999999999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f>0.29/100</f>
        <v>2.8999999999999998E-3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f>0.11/100</f>
        <v>1.1000000000000001E-3</v>
      </c>
      <c r="AI143" s="3">
        <v>0</v>
      </c>
      <c r="AJ143" s="3">
        <v>0</v>
      </c>
      <c r="AK143" s="3">
        <v>0</v>
      </c>
      <c r="AL143" s="4">
        <v>0</v>
      </c>
      <c r="BZ143" s="2">
        <v>1</v>
      </c>
      <c r="CA143" s="3">
        <v>0</v>
      </c>
      <c r="CB143" s="3">
        <v>0</v>
      </c>
      <c r="CC143" s="3">
        <v>0</v>
      </c>
      <c r="CD143" s="3">
        <v>1</v>
      </c>
      <c r="CE143" s="3">
        <v>1</v>
      </c>
      <c r="CF143" s="3">
        <v>1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1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4">
        <v>0</v>
      </c>
      <c r="DD143" s="20" t="s">
        <v>275</v>
      </c>
    </row>
    <row r="144" spans="1:108" x14ac:dyDescent="0.3">
      <c r="A144" s="2" t="s">
        <v>98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4">
        <v>1</v>
      </c>
      <c r="H144" s="2">
        <v>2</v>
      </c>
      <c r="I144" s="3">
        <v>180</v>
      </c>
      <c r="J144" s="3">
        <v>20</v>
      </c>
      <c r="K144" s="3">
        <v>25</v>
      </c>
      <c r="L144" s="4">
        <v>0</v>
      </c>
      <c r="N144" s="19">
        <v>3</v>
      </c>
      <c r="O144" s="19">
        <v>12</v>
      </c>
      <c r="P144" s="19">
        <v>454</v>
      </c>
      <c r="Q144" s="19">
        <v>360</v>
      </c>
      <c r="R144" s="19">
        <f t="shared" ref="R144:R202" si="3">P144-Q144</f>
        <v>94</v>
      </c>
      <c r="S144" s="19" t="s">
        <v>1</v>
      </c>
      <c r="DD144" s="20" t="s">
        <v>276</v>
      </c>
    </row>
    <row r="145" spans="1:108" x14ac:dyDescent="0.3">
      <c r="A145" s="11" t="s">
        <v>277</v>
      </c>
      <c r="B145" s="3">
        <v>0</v>
      </c>
      <c r="C145" s="3">
        <v>1</v>
      </c>
      <c r="D145" s="3">
        <v>0</v>
      </c>
      <c r="E145" s="3">
        <v>0</v>
      </c>
      <c r="F145" s="3">
        <v>0</v>
      </c>
      <c r="G145" s="4">
        <v>0</v>
      </c>
      <c r="H145" s="2">
        <v>18</v>
      </c>
      <c r="I145" s="3">
        <v>180</v>
      </c>
      <c r="J145" s="3">
        <v>100</v>
      </c>
      <c r="K145" s="3">
        <v>350</v>
      </c>
      <c r="L145" s="4">
        <v>0</v>
      </c>
      <c r="N145" s="19">
        <v>3.39</v>
      </c>
      <c r="O145" s="19">
        <v>8.64</v>
      </c>
      <c r="P145" s="19">
        <v>442</v>
      </c>
      <c r="Q145" s="19">
        <v>360</v>
      </c>
      <c r="R145" s="19">
        <f t="shared" si="3"/>
        <v>82</v>
      </c>
      <c r="S145" s="19" t="s">
        <v>1</v>
      </c>
      <c r="T145" s="2">
        <v>0.78600000000000003</v>
      </c>
      <c r="U145" s="3">
        <v>0.19900000000000001</v>
      </c>
      <c r="AK145" s="3">
        <v>0</v>
      </c>
      <c r="AL145" s="4">
        <v>0</v>
      </c>
      <c r="AM145" s="2">
        <v>1</v>
      </c>
      <c r="AN145" s="3">
        <v>0</v>
      </c>
      <c r="AO145" s="3">
        <v>0</v>
      </c>
      <c r="AP145" s="3">
        <v>0</v>
      </c>
      <c r="AQ145" s="3">
        <v>0</v>
      </c>
      <c r="AR145" s="3">
        <v>1</v>
      </c>
      <c r="AS145" s="3">
        <v>0</v>
      </c>
      <c r="AT145" s="3">
        <v>0</v>
      </c>
      <c r="AU145" s="3">
        <v>0</v>
      </c>
      <c r="AV145" s="3">
        <v>1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1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4">
        <v>0</v>
      </c>
      <c r="BZ145" s="2">
        <v>0</v>
      </c>
      <c r="CA145" s="3">
        <v>0</v>
      </c>
      <c r="CB145" s="3">
        <v>0</v>
      </c>
      <c r="CC145" s="3">
        <v>1</v>
      </c>
      <c r="CD145" s="3">
        <v>1</v>
      </c>
      <c r="CE145" s="3">
        <v>0</v>
      </c>
      <c r="CF145" s="3">
        <v>1</v>
      </c>
      <c r="CG145" s="3">
        <v>0</v>
      </c>
      <c r="CH145" s="3">
        <v>0</v>
      </c>
      <c r="CI145" s="3">
        <v>1</v>
      </c>
      <c r="CJ145" s="3">
        <v>0</v>
      </c>
      <c r="CK145" s="3">
        <v>0</v>
      </c>
      <c r="CL145" s="3">
        <v>1</v>
      </c>
      <c r="CM145" s="3">
        <v>1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4">
        <v>0</v>
      </c>
      <c r="DD145" s="20" t="s">
        <v>278</v>
      </c>
    </row>
    <row r="146" spans="1:108" x14ac:dyDescent="0.3">
      <c r="A146" s="2" t="s">
        <v>279</v>
      </c>
      <c r="B146" s="6">
        <v>1</v>
      </c>
      <c r="C146" s="3">
        <v>0</v>
      </c>
      <c r="D146" s="3">
        <v>0</v>
      </c>
      <c r="E146" s="3">
        <v>0</v>
      </c>
      <c r="F146" s="3">
        <v>0</v>
      </c>
      <c r="G146" s="4">
        <v>0</v>
      </c>
      <c r="H146" s="2">
        <v>1</v>
      </c>
      <c r="I146" s="3">
        <v>100</v>
      </c>
      <c r="J146" s="3">
        <v>2</v>
      </c>
      <c r="K146" s="3">
        <v>40</v>
      </c>
      <c r="L146" s="4">
        <v>0</v>
      </c>
      <c r="N146" s="19">
        <v>2.5</v>
      </c>
      <c r="O146" s="19">
        <v>0.4</v>
      </c>
      <c r="P146" s="19">
        <v>470</v>
      </c>
      <c r="Q146" s="19">
        <v>400</v>
      </c>
      <c r="R146" s="19">
        <f t="shared" si="3"/>
        <v>70</v>
      </c>
      <c r="S146" s="19" t="s">
        <v>1</v>
      </c>
      <c r="BZ146" s="2">
        <v>0</v>
      </c>
      <c r="CA146" s="3">
        <v>0</v>
      </c>
      <c r="CB146" s="3">
        <v>1</v>
      </c>
      <c r="CC146" s="3">
        <v>0</v>
      </c>
      <c r="CD146" s="3">
        <v>1</v>
      </c>
      <c r="CE146" s="3">
        <v>1</v>
      </c>
      <c r="CF146" s="3">
        <v>1</v>
      </c>
      <c r="CG146" s="3">
        <v>0</v>
      </c>
      <c r="CH146" s="3">
        <v>0</v>
      </c>
      <c r="CI146" s="3">
        <v>1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4">
        <v>0</v>
      </c>
      <c r="DD146" s="20" t="s">
        <v>280</v>
      </c>
    </row>
    <row r="147" spans="1:108" x14ac:dyDescent="0.3">
      <c r="A147" s="2" t="s">
        <v>281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4">
        <v>1</v>
      </c>
      <c r="H147" s="2">
        <v>8</v>
      </c>
      <c r="I147" s="3">
        <v>200</v>
      </c>
      <c r="J147" s="3">
        <v>3</v>
      </c>
      <c r="K147" s="3">
        <v>20</v>
      </c>
      <c r="L147" s="4">
        <v>1</v>
      </c>
      <c r="N147" s="19">
        <v>6.41</v>
      </c>
      <c r="P147" s="19">
        <v>354</v>
      </c>
      <c r="Q147" s="19">
        <v>280</v>
      </c>
      <c r="R147" s="19">
        <f t="shared" si="3"/>
        <v>74</v>
      </c>
      <c r="BZ147" s="2">
        <v>0</v>
      </c>
      <c r="CA147" s="3">
        <v>0</v>
      </c>
      <c r="CB147" s="3">
        <v>0</v>
      </c>
      <c r="CC147" s="3">
        <v>1</v>
      </c>
      <c r="CD147" s="3">
        <v>1</v>
      </c>
      <c r="CE147" s="3">
        <v>0</v>
      </c>
      <c r="CF147" s="3">
        <v>1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1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4">
        <v>0</v>
      </c>
      <c r="DD147" s="20" t="s">
        <v>282</v>
      </c>
    </row>
    <row r="148" spans="1:108" x14ac:dyDescent="0.3">
      <c r="A148" s="2" t="s">
        <v>283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4">
        <v>1</v>
      </c>
      <c r="H148" s="2">
        <v>10</v>
      </c>
      <c r="I148" s="3">
        <v>180</v>
      </c>
      <c r="J148" s="3">
        <v>1</v>
      </c>
      <c r="K148" s="3">
        <v>60</v>
      </c>
      <c r="L148" s="4">
        <v>1</v>
      </c>
      <c r="N148" s="19">
        <v>1.5</v>
      </c>
      <c r="O148" s="19">
        <v>66.739999999999995</v>
      </c>
      <c r="P148" s="19">
        <v>430</v>
      </c>
      <c r="Q148" s="19">
        <v>365</v>
      </c>
      <c r="R148" s="19">
        <f t="shared" si="3"/>
        <v>65</v>
      </c>
      <c r="S148" s="19" t="s">
        <v>1</v>
      </c>
      <c r="T148" s="2">
        <v>0.28849999999999998</v>
      </c>
      <c r="U148" s="3">
        <v>0.34250000000000003</v>
      </c>
      <c r="V148" s="3">
        <v>0.36890000000000001</v>
      </c>
      <c r="AK148" s="3">
        <v>0</v>
      </c>
      <c r="AL148" s="4">
        <v>0</v>
      </c>
      <c r="BZ148" s="2">
        <v>0</v>
      </c>
      <c r="CA148" s="3">
        <v>0</v>
      </c>
      <c r="CB148" s="3">
        <v>1</v>
      </c>
      <c r="CC148" s="3">
        <v>0</v>
      </c>
      <c r="CD148" s="3">
        <v>1</v>
      </c>
      <c r="CE148" s="3">
        <v>1</v>
      </c>
      <c r="CF148" s="3">
        <v>1</v>
      </c>
      <c r="CG148" s="3">
        <v>0</v>
      </c>
      <c r="CH148" s="3">
        <v>0</v>
      </c>
      <c r="CI148" s="3">
        <v>1</v>
      </c>
      <c r="CJ148" s="3">
        <v>0</v>
      </c>
      <c r="CK148" s="3">
        <v>0</v>
      </c>
      <c r="CL148" s="3">
        <v>1</v>
      </c>
      <c r="CM148" s="3">
        <v>1</v>
      </c>
      <c r="CN148" s="3">
        <v>0</v>
      </c>
      <c r="CO148" s="3">
        <v>0</v>
      </c>
      <c r="CP148" s="3">
        <v>0</v>
      </c>
      <c r="CQ148" s="3">
        <v>1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4">
        <v>0</v>
      </c>
      <c r="DD148" s="20" t="s">
        <v>284</v>
      </c>
    </row>
    <row r="149" spans="1:108" x14ac:dyDescent="0.3">
      <c r="A149" s="2" t="s">
        <v>285</v>
      </c>
      <c r="B149" s="3">
        <v>0</v>
      </c>
      <c r="C149" s="3">
        <v>0</v>
      </c>
      <c r="D149" s="3">
        <v>0</v>
      </c>
      <c r="E149" s="3">
        <v>0</v>
      </c>
      <c r="F149" s="3">
        <v>1</v>
      </c>
      <c r="G149" s="4">
        <v>0</v>
      </c>
      <c r="H149" s="2">
        <v>12</v>
      </c>
      <c r="I149" s="3">
        <v>120</v>
      </c>
      <c r="L149" s="4">
        <v>0</v>
      </c>
      <c r="O149" s="19">
        <v>8</v>
      </c>
      <c r="P149" s="19">
        <v>406</v>
      </c>
      <c r="Q149" s="19">
        <v>330</v>
      </c>
      <c r="R149" s="19">
        <f t="shared" si="3"/>
        <v>76</v>
      </c>
      <c r="S149" s="19" t="s">
        <v>1</v>
      </c>
      <c r="T149" s="2">
        <v>0.67859999999999998</v>
      </c>
      <c r="U149" s="3">
        <v>0.22420000000000001</v>
      </c>
      <c r="V149" s="3">
        <v>0.1</v>
      </c>
      <c r="AK149" s="3">
        <v>0</v>
      </c>
      <c r="AL149" s="4">
        <v>0</v>
      </c>
      <c r="AM149" s="2">
        <v>1</v>
      </c>
      <c r="AN149" s="3">
        <v>0</v>
      </c>
      <c r="AO149" s="3">
        <v>1</v>
      </c>
      <c r="AP149" s="3">
        <v>1</v>
      </c>
      <c r="AQ149" s="3">
        <v>1</v>
      </c>
      <c r="AR149" s="3">
        <v>1</v>
      </c>
      <c r="AS149" s="3">
        <v>0</v>
      </c>
      <c r="AT149" s="3">
        <v>0</v>
      </c>
      <c r="AU149" s="3">
        <v>0</v>
      </c>
      <c r="AV149" s="3">
        <v>1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1</v>
      </c>
      <c r="BE149" s="3">
        <v>0</v>
      </c>
      <c r="BF149" s="3">
        <v>0</v>
      </c>
      <c r="BG149" s="3">
        <v>0</v>
      </c>
      <c r="BH149" s="3">
        <v>0</v>
      </c>
      <c r="BI149" s="3">
        <v>1</v>
      </c>
      <c r="BJ149" s="3">
        <v>0</v>
      </c>
      <c r="BK149" s="3">
        <v>1</v>
      </c>
      <c r="BL149" s="3">
        <v>0</v>
      </c>
      <c r="BM149" s="3">
        <v>1</v>
      </c>
      <c r="BN149" s="3">
        <v>0</v>
      </c>
      <c r="BO149" s="3">
        <v>0</v>
      </c>
      <c r="BP149" s="3">
        <v>0</v>
      </c>
      <c r="BQ149" s="3">
        <v>0</v>
      </c>
      <c r="BR149" s="3">
        <v>1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4">
        <v>0</v>
      </c>
      <c r="BZ149" s="2">
        <v>0</v>
      </c>
      <c r="CA149" s="3">
        <v>0</v>
      </c>
      <c r="CB149" s="3">
        <v>1</v>
      </c>
      <c r="CC149" s="3">
        <v>1</v>
      </c>
      <c r="CD149" s="3">
        <v>1</v>
      </c>
      <c r="CE149" s="3">
        <v>1</v>
      </c>
      <c r="CF149" s="3">
        <v>1</v>
      </c>
      <c r="CG149" s="3">
        <v>0</v>
      </c>
      <c r="CH149" s="3">
        <v>0</v>
      </c>
      <c r="CI149" s="3">
        <v>1</v>
      </c>
      <c r="CJ149" s="3">
        <v>0</v>
      </c>
      <c r="CK149" s="3">
        <v>0</v>
      </c>
      <c r="CL149" s="3">
        <v>1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4">
        <v>0</v>
      </c>
      <c r="DD149" s="20" t="s">
        <v>286</v>
      </c>
    </row>
    <row r="150" spans="1:108" x14ac:dyDescent="0.3">
      <c r="A150" s="2" t="s">
        <v>287</v>
      </c>
      <c r="B150" s="3">
        <v>0</v>
      </c>
      <c r="C150" s="3">
        <v>1</v>
      </c>
      <c r="D150" s="3">
        <v>0</v>
      </c>
      <c r="E150" s="3">
        <v>0</v>
      </c>
      <c r="F150" s="3">
        <v>0</v>
      </c>
      <c r="G150" s="4">
        <v>0</v>
      </c>
      <c r="H150" s="2">
        <v>12</v>
      </c>
      <c r="I150" s="3">
        <v>180</v>
      </c>
      <c r="J150" s="3">
        <v>50</v>
      </c>
      <c r="K150" s="3">
        <v>50</v>
      </c>
      <c r="L150" s="4">
        <v>1</v>
      </c>
      <c r="N150" s="19">
        <v>3.3</v>
      </c>
      <c r="P150" s="19">
        <v>405</v>
      </c>
      <c r="Q150" s="19">
        <v>310</v>
      </c>
      <c r="R150" s="19">
        <f t="shared" si="3"/>
        <v>95</v>
      </c>
      <c r="S150" s="19" t="s">
        <v>1</v>
      </c>
      <c r="T150" s="2">
        <v>0.91549999999999998</v>
      </c>
      <c r="U150" s="3">
        <v>5.4800000000000001E-2</v>
      </c>
      <c r="V150" s="3">
        <v>2.12E-2</v>
      </c>
      <c r="AK150" s="3">
        <v>0</v>
      </c>
      <c r="AL150" s="4">
        <v>0</v>
      </c>
      <c r="AM150" s="2">
        <v>0</v>
      </c>
      <c r="AN150" s="3">
        <v>0</v>
      </c>
      <c r="AO150" s="3">
        <v>1</v>
      </c>
      <c r="AP150" s="3">
        <v>1</v>
      </c>
      <c r="AQ150" s="3">
        <v>1</v>
      </c>
      <c r="AR150" s="3">
        <v>1</v>
      </c>
      <c r="AS150" s="3">
        <v>0</v>
      </c>
      <c r="AT150" s="3">
        <v>1</v>
      </c>
      <c r="AU150" s="3">
        <v>0</v>
      </c>
      <c r="AV150" s="3">
        <v>0</v>
      </c>
      <c r="AW150" s="3">
        <v>0</v>
      </c>
      <c r="AX150" s="3">
        <v>0</v>
      </c>
      <c r="AY150" s="3">
        <v>1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1</v>
      </c>
      <c r="BH150" s="3">
        <v>0</v>
      </c>
      <c r="BI150" s="3">
        <v>0</v>
      </c>
      <c r="BJ150" s="3">
        <v>0</v>
      </c>
      <c r="BK150" s="3">
        <v>0</v>
      </c>
      <c r="BL150" s="3">
        <v>1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4">
        <v>0</v>
      </c>
      <c r="BZ150" s="2">
        <v>0</v>
      </c>
      <c r="CA150" s="3">
        <v>0</v>
      </c>
      <c r="CB150" s="3">
        <v>1</v>
      </c>
      <c r="CC150" s="3">
        <v>0</v>
      </c>
      <c r="CD150" s="3">
        <v>1</v>
      </c>
      <c r="CE150" s="3">
        <v>1</v>
      </c>
      <c r="CF150" s="3">
        <v>1</v>
      </c>
      <c r="CG150" s="3">
        <v>0</v>
      </c>
      <c r="CH150" s="3">
        <v>0</v>
      </c>
      <c r="CI150" s="3">
        <v>0</v>
      </c>
      <c r="CJ150" s="3">
        <v>0</v>
      </c>
      <c r="CK150" s="3">
        <v>1</v>
      </c>
      <c r="CL150" s="3">
        <v>1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4">
        <v>0</v>
      </c>
      <c r="DD150" s="20" t="s">
        <v>288</v>
      </c>
    </row>
    <row r="151" spans="1:108" x14ac:dyDescent="0.3">
      <c r="A151" s="2" t="s">
        <v>289</v>
      </c>
      <c r="B151" s="6">
        <v>0</v>
      </c>
      <c r="C151" s="6">
        <v>0</v>
      </c>
      <c r="D151" s="6">
        <v>0</v>
      </c>
      <c r="E151" s="6">
        <v>1</v>
      </c>
      <c r="F151" s="6">
        <v>0</v>
      </c>
      <c r="G151" s="7">
        <v>0</v>
      </c>
      <c r="H151" s="2">
        <f>0.5/0.6</f>
        <v>0.83333333333333337</v>
      </c>
      <c r="I151" s="3">
        <v>260</v>
      </c>
      <c r="J151" s="3">
        <v>0.5</v>
      </c>
      <c r="K151" s="3">
        <v>30</v>
      </c>
      <c r="L151" s="4">
        <v>1</v>
      </c>
      <c r="N151" s="19">
        <v>7.4</v>
      </c>
      <c r="O151" s="19">
        <v>24</v>
      </c>
      <c r="P151" s="19">
        <v>445</v>
      </c>
      <c r="Q151" s="19">
        <v>330</v>
      </c>
      <c r="R151" s="19">
        <f t="shared" si="3"/>
        <v>115</v>
      </c>
      <c r="S151" s="19" t="s">
        <v>1</v>
      </c>
      <c r="T151" s="2">
        <v>0.56340000000000001</v>
      </c>
      <c r="U151" s="3">
        <v>0.25209999999999999</v>
      </c>
      <c r="V151" s="3">
        <v>0.12820000000000001</v>
      </c>
      <c r="Z151" s="3">
        <v>5.6300000000000003E-2</v>
      </c>
      <c r="AK151" s="3">
        <v>0</v>
      </c>
      <c r="AL151" s="4">
        <v>0</v>
      </c>
      <c r="AM151" s="2">
        <v>0</v>
      </c>
      <c r="AN151" s="3">
        <v>0</v>
      </c>
      <c r="AO151" s="3">
        <v>1</v>
      </c>
      <c r="AP151" s="3">
        <v>0</v>
      </c>
      <c r="AQ151" s="3">
        <v>0</v>
      </c>
      <c r="AR151" s="3">
        <v>1</v>
      </c>
      <c r="AS151" s="3">
        <v>0</v>
      </c>
      <c r="AT151" s="3">
        <v>1</v>
      </c>
      <c r="AU151" s="3">
        <v>0</v>
      </c>
      <c r="AV151" s="3">
        <v>1</v>
      </c>
      <c r="AW151" s="3">
        <v>0</v>
      </c>
      <c r="AX151" s="3">
        <v>0</v>
      </c>
      <c r="AY151" s="3">
        <v>1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1</v>
      </c>
      <c r="BG151" s="3">
        <v>0</v>
      </c>
      <c r="BH151" s="3">
        <v>0</v>
      </c>
      <c r="BI151" s="3">
        <v>0</v>
      </c>
      <c r="BJ151" s="3">
        <v>0</v>
      </c>
      <c r="BK151" s="3">
        <v>1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4">
        <v>0</v>
      </c>
      <c r="DD151" s="20" t="s">
        <v>290</v>
      </c>
    </row>
    <row r="152" spans="1:108" x14ac:dyDescent="0.3">
      <c r="A152" s="2" t="s">
        <v>291</v>
      </c>
      <c r="B152" s="3">
        <v>0</v>
      </c>
      <c r="C152" s="3">
        <v>1</v>
      </c>
      <c r="D152" s="3">
        <v>0</v>
      </c>
      <c r="E152" s="3">
        <v>0</v>
      </c>
      <c r="F152" s="3">
        <v>0</v>
      </c>
      <c r="G152" s="4">
        <v>0</v>
      </c>
      <c r="H152" s="2">
        <v>12</v>
      </c>
      <c r="I152" s="3">
        <v>220</v>
      </c>
      <c r="J152" s="3">
        <v>0.1</v>
      </c>
      <c r="K152" s="3">
        <v>100</v>
      </c>
      <c r="L152" s="4">
        <v>1</v>
      </c>
      <c r="N152" s="19">
        <v>5</v>
      </c>
      <c r="O152" s="19">
        <v>53.46</v>
      </c>
      <c r="P152" s="19">
        <v>450</v>
      </c>
      <c r="Q152" s="19">
        <v>350</v>
      </c>
      <c r="R152" s="19">
        <f t="shared" si="3"/>
        <v>100</v>
      </c>
      <c r="S152" s="19" t="s">
        <v>1</v>
      </c>
      <c r="DD152" s="20" t="s">
        <v>292</v>
      </c>
    </row>
    <row r="153" spans="1:108" x14ac:dyDescent="0.3">
      <c r="A153" s="2" t="s">
        <v>268</v>
      </c>
      <c r="B153" s="6">
        <v>1</v>
      </c>
      <c r="C153" s="3">
        <v>0</v>
      </c>
      <c r="D153" s="3">
        <v>0</v>
      </c>
      <c r="E153" s="3">
        <v>0</v>
      </c>
      <c r="F153" s="3">
        <v>0</v>
      </c>
      <c r="G153" s="4">
        <v>0</v>
      </c>
      <c r="H153" s="2">
        <v>4</v>
      </c>
      <c r="I153" s="3">
        <v>150</v>
      </c>
      <c r="J153" s="3">
        <v>1</v>
      </c>
      <c r="K153" s="3">
        <v>20</v>
      </c>
      <c r="L153" s="4">
        <v>1</v>
      </c>
      <c r="M153" s="19">
        <v>58</v>
      </c>
      <c r="N153" s="19">
        <v>3</v>
      </c>
      <c r="O153" s="19">
        <v>8.9499999999999993</v>
      </c>
      <c r="P153" s="19">
        <v>460</v>
      </c>
      <c r="Q153" s="19">
        <v>360</v>
      </c>
      <c r="R153" s="19">
        <f t="shared" si="3"/>
        <v>100</v>
      </c>
      <c r="S153" s="19" t="s">
        <v>2</v>
      </c>
      <c r="T153" s="2">
        <v>0.63390000000000002</v>
      </c>
      <c r="U153" s="3">
        <v>0.3569</v>
      </c>
      <c r="V153" s="3">
        <v>0</v>
      </c>
      <c r="AA153" s="3">
        <v>9.1999999999999998E-2</v>
      </c>
      <c r="AK153" s="3">
        <v>0</v>
      </c>
      <c r="AL153" s="4">
        <v>0</v>
      </c>
      <c r="BZ153" s="2">
        <v>0</v>
      </c>
      <c r="CA153" s="3">
        <v>0</v>
      </c>
      <c r="CB153" s="3">
        <v>0</v>
      </c>
      <c r="CC153" s="3">
        <v>1</v>
      </c>
      <c r="CD153" s="3">
        <v>1</v>
      </c>
      <c r="CE153" s="3">
        <v>0</v>
      </c>
      <c r="CF153" s="3">
        <v>1</v>
      </c>
      <c r="CG153" s="3">
        <v>0</v>
      </c>
      <c r="CH153" s="3">
        <v>0</v>
      </c>
      <c r="CI153" s="3">
        <v>1</v>
      </c>
      <c r="CJ153" s="3">
        <v>0</v>
      </c>
      <c r="CK153" s="3">
        <v>0</v>
      </c>
      <c r="CL153" s="3">
        <v>1</v>
      </c>
      <c r="CM153" s="3">
        <v>0</v>
      </c>
      <c r="CN153" s="3">
        <v>0</v>
      </c>
      <c r="CO153" s="3">
        <v>0</v>
      </c>
      <c r="CP153" s="3">
        <v>0</v>
      </c>
      <c r="CQ153" s="3">
        <v>1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4">
        <v>0</v>
      </c>
      <c r="DD153" s="20" t="s">
        <v>293</v>
      </c>
    </row>
    <row r="154" spans="1:108" x14ac:dyDescent="0.3">
      <c r="A154" s="2" t="s">
        <v>64</v>
      </c>
      <c r="B154" s="6">
        <v>0</v>
      </c>
      <c r="C154" s="6">
        <v>0</v>
      </c>
      <c r="D154" s="6">
        <v>1</v>
      </c>
      <c r="E154" s="6">
        <v>0</v>
      </c>
      <c r="F154" s="6">
        <v>0</v>
      </c>
      <c r="G154" s="7">
        <v>0</v>
      </c>
      <c r="H154" s="2">
        <v>4</v>
      </c>
      <c r="I154" s="3">
        <v>200</v>
      </c>
      <c r="J154" s="3">
        <v>2.5</v>
      </c>
      <c r="K154" s="3">
        <v>35</v>
      </c>
      <c r="L154" s="4">
        <v>0</v>
      </c>
      <c r="N154" s="19">
        <v>5</v>
      </c>
      <c r="O154" s="19">
        <v>3.06</v>
      </c>
      <c r="P154" s="19">
        <v>435</v>
      </c>
      <c r="Q154" s="19">
        <v>360</v>
      </c>
      <c r="R154" s="19">
        <f t="shared" si="3"/>
        <v>75</v>
      </c>
      <c r="S154" s="19" t="s">
        <v>1</v>
      </c>
      <c r="T154" s="2">
        <v>0.4143</v>
      </c>
      <c r="U154" s="3">
        <v>0.48920000000000002</v>
      </c>
      <c r="V154" s="3">
        <v>4.8300000000000003E-2</v>
      </c>
      <c r="Z154" s="3">
        <v>4.8099999999999997E-2</v>
      </c>
      <c r="AK154" s="3">
        <v>0</v>
      </c>
      <c r="AL154" s="4">
        <v>0</v>
      </c>
      <c r="BZ154" s="2">
        <v>0</v>
      </c>
      <c r="CA154" s="3">
        <v>0</v>
      </c>
      <c r="CB154" s="3">
        <v>0</v>
      </c>
      <c r="CC154" s="3">
        <v>1</v>
      </c>
      <c r="CD154" s="3">
        <v>1</v>
      </c>
      <c r="CE154" s="3">
        <v>1</v>
      </c>
      <c r="CF154" s="3">
        <v>1</v>
      </c>
      <c r="CG154" s="3">
        <v>0</v>
      </c>
      <c r="CH154" s="3">
        <v>0</v>
      </c>
      <c r="CI154" s="3">
        <v>1</v>
      </c>
      <c r="CJ154" s="3">
        <v>0</v>
      </c>
      <c r="CK154" s="3">
        <v>0</v>
      </c>
      <c r="CL154" s="3">
        <v>1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4">
        <v>0</v>
      </c>
      <c r="DD154" s="20" t="s">
        <v>73</v>
      </c>
    </row>
    <row r="155" spans="1:108" x14ac:dyDescent="0.3">
      <c r="A155" s="2" t="s">
        <v>294</v>
      </c>
      <c r="B155" s="6">
        <v>1</v>
      </c>
      <c r="C155" s="3">
        <v>0</v>
      </c>
      <c r="D155" s="3">
        <v>0</v>
      </c>
      <c r="E155" s="3">
        <v>0</v>
      </c>
      <c r="F155" s="3">
        <v>0</v>
      </c>
      <c r="G155" s="4">
        <v>0</v>
      </c>
      <c r="H155" s="2">
        <v>15</v>
      </c>
      <c r="I155" s="3">
        <v>200</v>
      </c>
      <c r="J155" s="3">
        <v>25</v>
      </c>
      <c r="K155" s="3">
        <v>75</v>
      </c>
      <c r="L155" s="4">
        <v>1</v>
      </c>
      <c r="N155" s="19">
        <v>6.67</v>
      </c>
      <c r="O155" s="19">
        <v>12.35</v>
      </c>
      <c r="P155" s="19">
        <v>446</v>
      </c>
      <c r="Q155" s="19">
        <v>360</v>
      </c>
      <c r="R155" s="19">
        <f t="shared" si="3"/>
        <v>86</v>
      </c>
      <c r="S155" s="19" t="s">
        <v>1</v>
      </c>
      <c r="BZ155" s="2">
        <v>1</v>
      </c>
      <c r="CA155" s="3">
        <v>1</v>
      </c>
      <c r="CB155" s="3">
        <v>1</v>
      </c>
      <c r="CC155" s="3">
        <v>1</v>
      </c>
      <c r="CD155" s="3">
        <v>1</v>
      </c>
      <c r="CE155" s="3">
        <v>1</v>
      </c>
      <c r="CF155" s="3">
        <v>1</v>
      </c>
      <c r="CG155" s="3">
        <v>0</v>
      </c>
      <c r="CH155" s="3">
        <v>0</v>
      </c>
      <c r="CI155" s="3">
        <v>1</v>
      </c>
      <c r="CJ155" s="3">
        <v>0</v>
      </c>
      <c r="CK155" s="3">
        <v>0</v>
      </c>
      <c r="CL155" s="3">
        <v>1</v>
      </c>
      <c r="CM155" s="3">
        <v>0</v>
      </c>
      <c r="CN155" s="3">
        <v>0</v>
      </c>
      <c r="CO155" s="3">
        <v>0</v>
      </c>
      <c r="CP155" s="3">
        <v>0</v>
      </c>
      <c r="CQ155" s="3">
        <v>1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4">
        <v>0</v>
      </c>
      <c r="DD155" s="20" t="s">
        <v>295</v>
      </c>
    </row>
    <row r="156" spans="1:108" x14ac:dyDescent="0.3">
      <c r="A156" s="2" t="s">
        <v>296</v>
      </c>
      <c r="B156" s="3">
        <v>0</v>
      </c>
      <c r="C156" s="3">
        <v>1</v>
      </c>
      <c r="D156" s="3">
        <v>0</v>
      </c>
      <c r="E156" s="3">
        <v>0</v>
      </c>
      <c r="F156" s="3">
        <v>0</v>
      </c>
      <c r="G156" s="4">
        <v>0</v>
      </c>
      <c r="H156" s="2">
        <v>8</v>
      </c>
      <c r="I156" s="3">
        <v>180</v>
      </c>
      <c r="J156" s="3">
        <v>100</v>
      </c>
      <c r="K156" s="3">
        <v>350</v>
      </c>
      <c r="L156" s="4">
        <v>0</v>
      </c>
      <c r="N156" s="19">
        <f>(1*6+2*18+3*16+4*6+5*7+6*3+7*4+8*3+10*2)/(6+18+16+6+7+3+4+3+2)</f>
        <v>3.6769230769230767</v>
      </c>
      <c r="P156" s="19">
        <v>440</v>
      </c>
      <c r="Q156" s="19">
        <v>340</v>
      </c>
      <c r="R156" s="19">
        <f t="shared" si="3"/>
        <v>100</v>
      </c>
      <c r="S156" s="19" t="s">
        <v>2</v>
      </c>
      <c r="BZ156" s="2">
        <v>0</v>
      </c>
      <c r="CA156" s="3">
        <v>0</v>
      </c>
      <c r="CB156" s="3">
        <v>0</v>
      </c>
      <c r="CC156" s="3">
        <v>1</v>
      </c>
      <c r="CD156" s="3">
        <v>1</v>
      </c>
      <c r="CE156" s="3">
        <v>1</v>
      </c>
      <c r="CF156" s="3">
        <v>1</v>
      </c>
      <c r="CG156" s="3">
        <v>0</v>
      </c>
      <c r="CH156" s="3">
        <v>0</v>
      </c>
      <c r="CI156" s="3">
        <v>1</v>
      </c>
      <c r="CJ156" s="3">
        <v>0</v>
      </c>
      <c r="CK156" s="3">
        <v>0</v>
      </c>
      <c r="CL156" s="3">
        <v>1</v>
      </c>
      <c r="CM156" s="3">
        <v>1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4">
        <v>0</v>
      </c>
      <c r="DD156" s="20" t="s">
        <v>297</v>
      </c>
    </row>
    <row r="157" spans="1:108" x14ac:dyDescent="0.3">
      <c r="A157" s="2" t="s">
        <v>298</v>
      </c>
      <c r="B157" s="6">
        <v>0</v>
      </c>
      <c r="C157" s="6">
        <v>0</v>
      </c>
      <c r="D157" s="6">
        <v>0</v>
      </c>
      <c r="E157" s="6">
        <v>0</v>
      </c>
      <c r="F157" s="3">
        <v>1</v>
      </c>
      <c r="G157" s="7">
        <v>0</v>
      </c>
      <c r="H157" s="2">
        <v>5</v>
      </c>
      <c r="I157" s="3">
        <v>180</v>
      </c>
      <c r="J157" s="3">
        <v>5</v>
      </c>
      <c r="K157" s="3">
        <v>50</v>
      </c>
      <c r="L157" s="4">
        <v>0</v>
      </c>
      <c r="M157" s="19">
        <v>12.4</v>
      </c>
      <c r="N157" s="19">
        <v>4.16</v>
      </c>
      <c r="O157" s="19">
        <v>10.199999999999999</v>
      </c>
      <c r="P157" s="19">
        <v>460</v>
      </c>
      <c r="Q157" s="19">
        <v>360</v>
      </c>
      <c r="R157" s="19">
        <f t="shared" si="3"/>
        <v>100</v>
      </c>
      <c r="S157" s="19" t="s">
        <v>2</v>
      </c>
      <c r="T157" s="2">
        <v>0.69099999999999995</v>
      </c>
      <c r="U157" s="3">
        <v>0.30499999999999999</v>
      </c>
      <c r="V157" s="3">
        <f>0.4/100</f>
        <v>4.0000000000000001E-3</v>
      </c>
      <c r="AK157" s="3">
        <v>0</v>
      </c>
      <c r="AL157" s="4">
        <v>0</v>
      </c>
      <c r="AM157" s="2">
        <v>1</v>
      </c>
      <c r="AN157" s="3">
        <v>0</v>
      </c>
      <c r="AO157" s="3">
        <v>1</v>
      </c>
      <c r="AP157" s="3">
        <v>1</v>
      </c>
      <c r="AQ157" s="3">
        <v>1</v>
      </c>
      <c r="AR157" s="3">
        <v>1</v>
      </c>
      <c r="AS157" s="3">
        <v>0</v>
      </c>
      <c r="AT157" s="3">
        <v>1</v>
      </c>
      <c r="AU157" s="3">
        <v>0</v>
      </c>
      <c r="AV157" s="3">
        <v>1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4">
        <v>0</v>
      </c>
      <c r="BZ157" s="2">
        <v>0</v>
      </c>
      <c r="CA157" s="3">
        <v>0</v>
      </c>
      <c r="CB157" s="3">
        <v>0</v>
      </c>
      <c r="CC157" s="3">
        <v>1</v>
      </c>
      <c r="CD157" s="3">
        <v>1</v>
      </c>
      <c r="CE157" s="3">
        <v>1</v>
      </c>
      <c r="CF157" s="3">
        <v>1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4">
        <v>0</v>
      </c>
      <c r="DD157" s="20" t="s">
        <v>299</v>
      </c>
    </row>
    <row r="158" spans="1:108" x14ac:dyDescent="0.3">
      <c r="A158" s="2" t="s">
        <v>300</v>
      </c>
      <c r="B158" s="6">
        <v>0</v>
      </c>
      <c r="C158" s="6">
        <v>0</v>
      </c>
      <c r="D158" s="6">
        <v>0</v>
      </c>
      <c r="E158" s="6">
        <v>0</v>
      </c>
      <c r="F158" s="3">
        <v>1</v>
      </c>
      <c r="G158" s="7">
        <v>0</v>
      </c>
      <c r="H158" s="2">
        <v>1</v>
      </c>
      <c r="I158" s="3">
        <v>250</v>
      </c>
      <c r="J158" s="3">
        <v>1</v>
      </c>
      <c r="K158" s="3">
        <v>7.5</v>
      </c>
      <c r="L158" s="4">
        <v>1</v>
      </c>
      <c r="M158" s="19">
        <v>30</v>
      </c>
      <c r="N158" s="19">
        <v>3</v>
      </c>
      <c r="O158" s="19">
        <v>55.84</v>
      </c>
      <c r="P158" s="19">
        <v>425</v>
      </c>
      <c r="Q158" s="19">
        <v>300</v>
      </c>
      <c r="R158" s="19">
        <f t="shared" si="3"/>
        <v>125</v>
      </c>
      <c r="S158" s="19" t="s">
        <v>1</v>
      </c>
      <c r="T158" s="2">
        <v>0.80310000000000004</v>
      </c>
      <c r="U158" s="3">
        <v>0.1968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4">
        <v>0</v>
      </c>
      <c r="AM158" s="2">
        <v>1</v>
      </c>
      <c r="AN158" s="3">
        <v>0</v>
      </c>
      <c r="AO158" s="3">
        <v>1</v>
      </c>
      <c r="AP158" s="3">
        <v>1</v>
      </c>
      <c r="AQ158" s="3">
        <v>0</v>
      </c>
      <c r="AR158" s="3">
        <v>1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1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4">
        <v>0</v>
      </c>
      <c r="BZ158" s="2">
        <v>0</v>
      </c>
      <c r="CA158" s="3">
        <v>0</v>
      </c>
      <c r="CB158" s="3">
        <v>0</v>
      </c>
      <c r="CC158" s="3">
        <v>1</v>
      </c>
      <c r="CD158" s="3">
        <v>1</v>
      </c>
      <c r="CE158" s="3">
        <v>0</v>
      </c>
      <c r="CF158" s="3">
        <v>1</v>
      </c>
      <c r="CG158" s="3">
        <v>0</v>
      </c>
      <c r="CH158" s="3">
        <v>0</v>
      </c>
      <c r="CI158" s="3">
        <v>1</v>
      </c>
      <c r="CJ158" s="3">
        <v>0</v>
      </c>
      <c r="CK158" s="3">
        <v>0</v>
      </c>
      <c r="CL158" s="3">
        <v>1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4">
        <v>0</v>
      </c>
      <c r="DD158" s="20" t="s">
        <v>301</v>
      </c>
    </row>
    <row r="159" spans="1:108" x14ac:dyDescent="0.3">
      <c r="A159" s="2" t="s">
        <v>302</v>
      </c>
      <c r="B159" s="6">
        <v>0</v>
      </c>
      <c r="C159" s="6">
        <v>0</v>
      </c>
      <c r="D159" s="6">
        <v>0</v>
      </c>
      <c r="E159" s="6">
        <v>0</v>
      </c>
      <c r="F159" s="3">
        <v>1</v>
      </c>
      <c r="G159" s="7">
        <v>0</v>
      </c>
      <c r="H159" s="2">
        <v>6</v>
      </c>
      <c r="I159" s="3">
        <v>180</v>
      </c>
      <c r="J159" s="3">
        <v>1.5</v>
      </c>
      <c r="K159" s="3">
        <v>30</v>
      </c>
      <c r="L159" s="4">
        <v>0</v>
      </c>
      <c r="M159" s="19">
        <v>3.01</v>
      </c>
      <c r="P159" s="19">
        <v>420</v>
      </c>
      <c r="Q159" s="19">
        <v>340</v>
      </c>
      <c r="R159" s="19">
        <f t="shared" si="3"/>
        <v>80</v>
      </c>
      <c r="S159" s="19" t="s">
        <v>1</v>
      </c>
      <c r="T159" s="2">
        <v>0.5615</v>
      </c>
      <c r="U159" s="3">
        <v>0.38800000000000001</v>
      </c>
      <c r="V159" s="3">
        <v>9.4000000000000004E-3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4">
        <v>0</v>
      </c>
      <c r="DD159" s="20" t="s">
        <v>303</v>
      </c>
    </row>
    <row r="160" spans="1:108" x14ac:dyDescent="0.3">
      <c r="A160" s="2" t="s">
        <v>302</v>
      </c>
      <c r="B160" s="6">
        <v>0</v>
      </c>
      <c r="C160" s="6">
        <v>0</v>
      </c>
      <c r="D160" s="6">
        <v>0</v>
      </c>
      <c r="E160" s="6">
        <v>0</v>
      </c>
      <c r="F160" s="3">
        <v>1</v>
      </c>
      <c r="G160" s="7">
        <v>0</v>
      </c>
      <c r="H160" s="2">
        <v>6</v>
      </c>
      <c r="I160" s="3">
        <v>220</v>
      </c>
      <c r="J160" s="3">
        <v>1.5</v>
      </c>
      <c r="K160" s="3">
        <v>30</v>
      </c>
      <c r="L160" s="4">
        <v>0</v>
      </c>
      <c r="M160" s="19">
        <v>1.2</v>
      </c>
      <c r="N160" s="19">
        <v>4.47</v>
      </c>
      <c r="P160" s="19">
        <v>429</v>
      </c>
      <c r="Q160" s="19">
        <v>350</v>
      </c>
      <c r="R160" s="19">
        <f t="shared" si="3"/>
        <v>79</v>
      </c>
      <c r="S160" s="19" t="s">
        <v>1</v>
      </c>
      <c r="T160" s="2">
        <v>0.60899999999999999</v>
      </c>
      <c r="U160" s="3">
        <v>0.3453</v>
      </c>
      <c r="V160" s="3">
        <v>2.0500000000000001E-2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4">
        <v>0</v>
      </c>
      <c r="AM160" s="2">
        <v>1</v>
      </c>
      <c r="AN160" s="3">
        <v>0</v>
      </c>
      <c r="AO160" s="3">
        <v>1</v>
      </c>
      <c r="AP160" s="3">
        <v>0</v>
      </c>
      <c r="AQ160" s="3">
        <v>0</v>
      </c>
      <c r="AR160" s="3">
        <v>1</v>
      </c>
      <c r="AS160" s="3">
        <v>0</v>
      </c>
      <c r="AT160" s="3">
        <v>0</v>
      </c>
      <c r="AU160" s="3">
        <v>0</v>
      </c>
      <c r="AV160" s="3">
        <v>1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4">
        <v>0</v>
      </c>
      <c r="DD160" s="20" t="s">
        <v>303</v>
      </c>
    </row>
    <row r="161" spans="1:108" x14ac:dyDescent="0.3">
      <c r="A161" s="2" t="s">
        <v>302</v>
      </c>
      <c r="B161" s="6">
        <v>0</v>
      </c>
      <c r="C161" s="6">
        <v>0</v>
      </c>
      <c r="D161" s="6">
        <v>0</v>
      </c>
      <c r="E161" s="6">
        <v>0</v>
      </c>
      <c r="F161" s="3">
        <v>1</v>
      </c>
      <c r="G161" s="7">
        <v>0</v>
      </c>
      <c r="H161" s="2">
        <v>6</v>
      </c>
      <c r="I161" s="3">
        <v>220</v>
      </c>
      <c r="J161" s="3">
        <v>1.5</v>
      </c>
      <c r="K161" s="3">
        <v>30</v>
      </c>
      <c r="L161" s="4">
        <v>1</v>
      </c>
      <c r="M161" s="19">
        <v>33.729999999999997</v>
      </c>
      <c r="P161" s="19">
        <v>403</v>
      </c>
      <c r="Q161" s="19">
        <v>240</v>
      </c>
      <c r="R161" s="19">
        <f t="shared" si="3"/>
        <v>163</v>
      </c>
      <c r="S161" s="19" t="s">
        <v>1</v>
      </c>
      <c r="T161" s="2">
        <v>0.66439999999999999</v>
      </c>
      <c r="U161" s="3">
        <v>0.33489999999999998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4">
        <v>0</v>
      </c>
      <c r="AM161" s="2">
        <v>0</v>
      </c>
      <c r="AN161" s="3">
        <v>0</v>
      </c>
      <c r="AO161" s="3">
        <v>1</v>
      </c>
      <c r="AP161" s="3">
        <v>0</v>
      </c>
      <c r="AQ161" s="3">
        <v>0</v>
      </c>
      <c r="AR161" s="3">
        <v>1</v>
      </c>
      <c r="AS161" s="3">
        <v>0</v>
      </c>
      <c r="AT161" s="3">
        <v>0</v>
      </c>
      <c r="AU161" s="3">
        <v>0</v>
      </c>
      <c r="AV161" s="3">
        <v>1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4">
        <v>0</v>
      </c>
      <c r="DD161" s="20" t="s">
        <v>303</v>
      </c>
    </row>
    <row r="162" spans="1:108" x14ac:dyDescent="0.3">
      <c r="A162" s="2" t="s">
        <v>304</v>
      </c>
      <c r="B162" s="6">
        <v>0</v>
      </c>
      <c r="C162" s="6">
        <v>0</v>
      </c>
      <c r="D162" s="6">
        <v>1</v>
      </c>
      <c r="E162" s="6">
        <v>0</v>
      </c>
      <c r="F162" s="6">
        <v>0</v>
      </c>
      <c r="G162" s="7">
        <v>0</v>
      </c>
      <c r="H162" s="2">
        <v>4</v>
      </c>
      <c r="I162" s="3">
        <v>200</v>
      </c>
      <c r="J162" s="3">
        <v>0.5</v>
      </c>
      <c r="K162" s="3">
        <v>50</v>
      </c>
      <c r="L162" s="4">
        <v>0</v>
      </c>
      <c r="N162" s="19">
        <v>5</v>
      </c>
      <c r="O162" s="19">
        <v>28.2</v>
      </c>
      <c r="P162" s="19">
        <v>405</v>
      </c>
      <c r="Q162" s="19">
        <v>330</v>
      </c>
      <c r="R162" s="19">
        <f t="shared" si="3"/>
        <v>75</v>
      </c>
      <c r="S162" s="19" t="s">
        <v>1</v>
      </c>
      <c r="T162" s="2">
        <v>0.98140000000000005</v>
      </c>
      <c r="U162" s="3">
        <f>0.73/100</f>
        <v>7.3000000000000001E-3</v>
      </c>
      <c r="V162" s="3">
        <f>1.13/100</f>
        <v>1.1299999999999999E-2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4">
        <v>0</v>
      </c>
      <c r="BZ162" s="2">
        <v>0</v>
      </c>
      <c r="CA162" s="3">
        <v>0</v>
      </c>
      <c r="CB162" s="3">
        <v>1</v>
      </c>
      <c r="CC162" s="3">
        <v>1</v>
      </c>
      <c r="CD162" s="3">
        <v>0</v>
      </c>
      <c r="CE162" s="3">
        <v>0</v>
      </c>
      <c r="CF162" s="3">
        <v>1</v>
      </c>
      <c r="CG162" s="3">
        <v>0</v>
      </c>
      <c r="CH162" s="3">
        <v>0</v>
      </c>
      <c r="CI162" s="3">
        <v>1</v>
      </c>
      <c r="CJ162" s="3">
        <v>0</v>
      </c>
      <c r="CK162" s="3">
        <v>1</v>
      </c>
      <c r="CL162" s="3">
        <v>1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4">
        <v>0</v>
      </c>
      <c r="DD162" s="20" t="s">
        <v>305</v>
      </c>
    </row>
    <row r="163" spans="1:108" x14ac:dyDescent="0.3">
      <c r="A163" s="2" t="s">
        <v>306</v>
      </c>
      <c r="B163" s="6">
        <v>0</v>
      </c>
      <c r="C163" s="6">
        <v>0</v>
      </c>
      <c r="D163" s="6">
        <v>1</v>
      </c>
      <c r="E163" s="6">
        <v>0</v>
      </c>
      <c r="F163" s="6">
        <v>0</v>
      </c>
      <c r="G163" s="7">
        <v>0</v>
      </c>
      <c r="H163" s="2">
        <v>18</v>
      </c>
      <c r="I163" s="3">
        <v>220</v>
      </c>
      <c r="J163" s="3">
        <v>0.5</v>
      </c>
      <c r="K163" s="3">
        <v>30</v>
      </c>
      <c r="L163" s="4">
        <v>0</v>
      </c>
      <c r="N163" s="19">
        <v>2.0099999999999998</v>
      </c>
      <c r="O163" s="19">
        <v>11.8</v>
      </c>
      <c r="P163" s="19">
        <v>472</v>
      </c>
      <c r="Q163" s="19">
        <v>380</v>
      </c>
      <c r="R163" s="19">
        <f t="shared" si="3"/>
        <v>92</v>
      </c>
      <c r="S163" s="19" t="s">
        <v>1</v>
      </c>
      <c r="AM163" s="2">
        <v>1</v>
      </c>
      <c r="AN163" s="3">
        <v>0</v>
      </c>
      <c r="AO163" s="3">
        <v>1</v>
      </c>
      <c r="AP163" s="3">
        <v>1</v>
      </c>
      <c r="AQ163" s="3">
        <v>1</v>
      </c>
      <c r="AR163" s="3">
        <v>1</v>
      </c>
      <c r="AS163" s="3">
        <v>0</v>
      </c>
      <c r="AT163" s="3">
        <v>1</v>
      </c>
      <c r="AU163" s="3">
        <v>0</v>
      </c>
      <c r="AV163" s="3">
        <v>1</v>
      </c>
      <c r="AW163" s="3">
        <v>0</v>
      </c>
      <c r="AX163" s="3">
        <v>0</v>
      </c>
      <c r="AY163" s="3">
        <v>1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1</v>
      </c>
      <c r="BK163" s="3">
        <v>1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4">
        <v>0</v>
      </c>
      <c r="BZ163" s="2">
        <v>0</v>
      </c>
      <c r="CA163" s="3">
        <v>0</v>
      </c>
      <c r="CB163" s="3">
        <v>1</v>
      </c>
      <c r="CC163" s="3">
        <v>0</v>
      </c>
      <c r="CD163" s="3">
        <v>1</v>
      </c>
      <c r="CE163" s="3">
        <v>1</v>
      </c>
      <c r="CF163" s="3">
        <v>1</v>
      </c>
      <c r="CG163" s="3">
        <v>0</v>
      </c>
      <c r="CH163" s="3">
        <v>0</v>
      </c>
      <c r="CI163" s="3">
        <v>1</v>
      </c>
      <c r="CJ163" s="3">
        <v>0</v>
      </c>
      <c r="CK163" s="3">
        <v>0</v>
      </c>
      <c r="CL163" s="3">
        <v>1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4">
        <v>0</v>
      </c>
      <c r="DD163" s="21" t="s">
        <v>307</v>
      </c>
    </row>
    <row r="164" spans="1:108" x14ac:dyDescent="0.3">
      <c r="A164" s="2" t="s">
        <v>308</v>
      </c>
      <c r="B164" s="6">
        <v>0</v>
      </c>
      <c r="C164" s="6">
        <v>0</v>
      </c>
      <c r="D164" s="6">
        <v>1</v>
      </c>
      <c r="E164" s="6">
        <v>0</v>
      </c>
      <c r="F164" s="6">
        <v>0</v>
      </c>
      <c r="G164" s="7">
        <v>0</v>
      </c>
      <c r="H164" s="2">
        <v>12</v>
      </c>
      <c r="I164" s="3">
        <v>200</v>
      </c>
      <c r="J164" s="3">
        <v>0.5</v>
      </c>
      <c r="K164" s="3">
        <v>10</v>
      </c>
      <c r="L164" s="4">
        <v>0</v>
      </c>
      <c r="N164" s="19">
        <v>4.2</v>
      </c>
      <c r="O164" s="19">
        <v>5.5</v>
      </c>
      <c r="P164" s="19">
        <v>410</v>
      </c>
      <c r="Q164" s="19">
        <v>330</v>
      </c>
      <c r="R164" s="19">
        <f t="shared" si="3"/>
        <v>80</v>
      </c>
      <c r="S164" s="19" t="s">
        <v>1</v>
      </c>
      <c r="T164" s="2">
        <v>0.69</v>
      </c>
      <c r="U164" s="3">
        <v>0.25</v>
      </c>
      <c r="V164" s="3">
        <v>0.06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4">
        <v>0</v>
      </c>
      <c r="AM164" s="2">
        <v>1</v>
      </c>
      <c r="AN164" s="3">
        <v>0</v>
      </c>
      <c r="AO164" s="3">
        <v>1</v>
      </c>
      <c r="AP164" s="3">
        <v>1</v>
      </c>
      <c r="AQ164" s="3">
        <v>1</v>
      </c>
      <c r="AR164" s="3">
        <v>1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1</v>
      </c>
      <c r="BF164" s="3">
        <v>1</v>
      </c>
      <c r="BG164" s="3">
        <v>0</v>
      </c>
      <c r="BH164" s="3">
        <v>0</v>
      </c>
      <c r="BI164" s="3">
        <v>0</v>
      </c>
      <c r="BJ164" s="3">
        <v>0</v>
      </c>
      <c r="BK164" s="3">
        <v>1</v>
      </c>
      <c r="BL164" s="3">
        <v>0</v>
      </c>
      <c r="BM164" s="3">
        <v>1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4">
        <v>0</v>
      </c>
      <c r="BZ164" s="2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4">
        <v>0</v>
      </c>
      <c r="DD164" s="20" t="s">
        <v>309</v>
      </c>
    </row>
    <row r="165" spans="1:108" x14ac:dyDescent="0.3">
      <c r="A165" s="2" t="s">
        <v>310</v>
      </c>
      <c r="B165" s="16">
        <v>0</v>
      </c>
      <c r="C165" s="16">
        <v>0</v>
      </c>
      <c r="D165" s="16">
        <v>0</v>
      </c>
      <c r="E165" s="16">
        <v>0</v>
      </c>
      <c r="F165" s="16">
        <v>1</v>
      </c>
      <c r="G165" s="17">
        <v>0</v>
      </c>
      <c r="H165" s="2">
        <v>3</v>
      </c>
      <c r="I165" s="3">
        <v>200</v>
      </c>
      <c r="J165" s="3">
        <v>2</v>
      </c>
      <c r="K165" s="3">
        <v>30</v>
      </c>
      <c r="L165" s="4">
        <v>0</v>
      </c>
      <c r="N165" s="19">
        <v>2</v>
      </c>
      <c r="O165" s="19">
        <v>8.9</v>
      </c>
      <c r="P165" s="19">
        <v>460</v>
      </c>
      <c r="Q165" s="19">
        <v>350</v>
      </c>
      <c r="R165" s="19">
        <f t="shared" si="3"/>
        <v>110</v>
      </c>
      <c r="AM165" s="2">
        <v>0</v>
      </c>
      <c r="AN165" s="3">
        <v>0</v>
      </c>
      <c r="AO165" s="3">
        <v>1</v>
      </c>
      <c r="AP165" s="3">
        <v>1</v>
      </c>
      <c r="AQ165" s="3">
        <v>0</v>
      </c>
      <c r="AR165" s="3">
        <v>1</v>
      </c>
      <c r="AS165" s="3">
        <v>0</v>
      </c>
      <c r="AT165" s="3">
        <v>0</v>
      </c>
      <c r="AU165" s="3">
        <v>0</v>
      </c>
      <c r="AV165" s="3">
        <v>1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4">
        <v>0</v>
      </c>
      <c r="DD165" s="20" t="s">
        <v>311</v>
      </c>
    </row>
    <row r="166" spans="1:108" x14ac:dyDescent="0.3">
      <c r="A166" s="2" t="s">
        <v>228</v>
      </c>
      <c r="B166" s="3">
        <v>0</v>
      </c>
      <c r="C166" s="3">
        <v>0</v>
      </c>
      <c r="D166" s="3">
        <v>1</v>
      </c>
      <c r="E166" s="3">
        <v>0</v>
      </c>
      <c r="F166" s="3">
        <v>0</v>
      </c>
      <c r="G166" s="4">
        <v>0</v>
      </c>
      <c r="H166" s="2">
        <v>5</v>
      </c>
      <c r="I166" s="3">
        <v>200</v>
      </c>
      <c r="J166" s="3">
        <v>0.5</v>
      </c>
      <c r="K166" s="3">
        <v>30</v>
      </c>
      <c r="L166" s="4">
        <v>0</v>
      </c>
      <c r="O166" s="19">
        <v>7.6</v>
      </c>
      <c r="P166" s="19">
        <v>430</v>
      </c>
      <c r="Q166" s="19">
        <v>360</v>
      </c>
      <c r="R166" s="19">
        <f t="shared" si="3"/>
        <v>70</v>
      </c>
      <c r="DD166" s="20" t="s">
        <v>312</v>
      </c>
    </row>
    <row r="167" spans="1:108" x14ac:dyDescent="0.3">
      <c r="A167" s="2" t="s">
        <v>228</v>
      </c>
      <c r="B167" s="3">
        <v>0</v>
      </c>
      <c r="C167" s="3">
        <v>0</v>
      </c>
      <c r="D167" s="3">
        <v>1</v>
      </c>
      <c r="E167" s="3">
        <v>0</v>
      </c>
      <c r="F167" s="3">
        <v>0</v>
      </c>
      <c r="G167" s="4">
        <v>0</v>
      </c>
      <c r="H167" s="2">
        <v>5</v>
      </c>
      <c r="I167" s="3">
        <v>200</v>
      </c>
      <c r="J167" s="3">
        <v>0.5</v>
      </c>
      <c r="K167" s="3">
        <v>30</v>
      </c>
      <c r="L167" s="4">
        <v>1</v>
      </c>
      <c r="N167" s="19">
        <v>2</v>
      </c>
      <c r="O167" s="19">
        <v>10.9</v>
      </c>
      <c r="P167" s="19">
        <v>440</v>
      </c>
      <c r="Q167" s="19">
        <v>380</v>
      </c>
      <c r="R167" s="19">
        <f t="shared" si="3"/>
        <v>60</v>
      </c>
      <c r="T167" s="2">
        <v>0.85299999999999998</v>
      </c>
      <c r="U167" s="3">
        <v>0.105</v>
      </c>
      <c r="V167" s="3">
        <v>4.2000000000000003E-2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4">
        <v>0</v>
      </c>
      <c r="DD167" s="20" t="s">
        <v>312</v>
      </c>
    </row>
    <row r="168" spans="1:108" x14ac:dyDescent="0.3">
      <c r="A168" s="2" t="s">
        <v>313</v>
      </c>
      <c r="B168" s="6">
        <v>0</v>
      </c>
      <c r="C168" s="6">
        <v>0</v>
      </c>
      <c r="D168" s="6">
        <v>0</v>
      </c>
      <c r="E168" s="6">
        <v>0</v>
      </c>
      <c r="F168" s="3">
        <v>1</v>
      </c>
      <c r="G168" s="7">
        <v>0</v>
      </c>
      <c r="H168" s="2">
        <v>6</v>
      </c>
      <c r="I168" s="3">
        <v>150</v>
      </c>
      <c r="J168" s="3">
        <v>1.5</v>
      </c>
      <c r="K168" s="3">
        <v>30</v>
      </c>
      <c r="L168" s="4">
        <v>1</v>
      </c>
      <c r="N168" s="19">
        <v>10</v>
      </c>
      <c r="O168" s="19">
        <v>7.1</v>
      </c>
      <c r="P168" s="19">
        <v>445</v>
      </c>
      <c r="Q168" s="19">
        <v>350</v>
      </c>
      <c r="R168" s="19">
        <f t="shared" si="3"/>
        <v>95</v>
      </c>
      <c r="S168" s="19" t="s">
        <v>1</v>
      </c>
      <c r="T168" s="2">
        <v>0.59419999999999995</v>
      </c>
      <c r="U168" s="3">
        <v>0.32769999999999999</v>
      </c>
      <c r="V168" s="3">
        <v>7.8100000000000003E-2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4">
        <v>0</v>
      </c>
      <c r="AM168" s="2">
        <v>1</v>
      </c>
      <c r="AN168" s="3">
        <v>0</v>
      </c>
      <c r="AO168" s="3">
        <v>1</v>
      </c>
      <c r="AP168" s="3">
        <v>1</v>
      </c>
      <c r="AQ168" s="3">
        <v>1</v>
      </c>
      <c r="AR168" s="3">
        <v>1</v>
      </c>
      <c r="AS168" s="3">
        <v>0</v>
      </c>
      <c r="AT168" s="3">
        <v>1</v>
      </c>
      <c r="AU168" s="3">
        <v>0</v>
      </c>
      <c r="AV168" s="3">
        <v>1</v>
      </c>
      <c r="AW168" s="3">
        <v>0</v>
      </c>
      <c r="AX168" s="3">
        <v>0</v>
      </c>
      <c r="AY168" s="3">
        <v>1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1</v>
      </c>
      <c r="BG168" s="3">
        <v>0</v>
      </c>
      <c r="BH168" s="3">
        <v>0</v>
      </c>
      <c r="BI168" s="3">
        <v>0</v>
      </c>
      <c r="BJ168" s="3">
        <v>0</v>
      </c>
      <c r="BK168" s="3">
        <v>1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4">
        <v>0</v>
      </c>
      <c r="BZ168" s="2">
        <v>0</v>
      </c>
      <c r="CA168" s="3">
        <v>0</v>
      </c>
      <c r="CB168" s="3">
        <v>1</v>
      </c>
      <c r="CC168" s="3">
        <v>0</v>
      </c>
      <c r="CD168" s="3">
        <v>1</v>
      </c>
      <c r="CE168" s="3">
        <v>1</v>
      </c>
      <c r="CF168" s="3">
        <v>1</v>
      </c>
      <c r="CG168" s="3">
        <v>0</v>
      </c>
      <c r="CH168" s="3">
        <v>0</v>
      </c>
      <c r="CI168" s="3">
        <v>1</v>
      </c>
      <c r="CJ168" s="3">
        <v>0</v>
      </c>
      <c r="CK168" s="3">
        <v>0</v>
      </c>
      <c r="CL168" s="3">
        <v>1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4">
        <v>0</v>
      </c>
      <c r="DD168" s="20" t="s">
        <v>314</v>
      </c>
    </row>
    <row r="169" spans="1:108" x14ac:dyDescent="0.3">
      <c r="A169" s="2" t="s">
        <v>315</v>
      </c>
      <c r="B169" s="3">
        <v>1</v>
      </c>
      <c r="C169" s="6">
        <v>0</v>
      </c>
      <c r="D169" s="6">
        <v>0</v>
      </c>
      <c r="E169" s="6">
        <v>0</v>
      </c>
      <c r="F169" s="3">
        <v>0</v>
      </c>
      <c r="G169" s="7">
        <v>0</v>
      </c>
      <c r="H169" s="2">
        <v>12</v>
      </c>
      <c r="I169" s="3">
        <v>200</v>
      </c>
      <c r="J169" s="3">
        <v>30</v>
      </c>
      <c r="K169" s="3">
        <v>0</v>
      </c>
      <c r="L169" s="4">
        <v>0</v>
      </c>
      <c r="N169" s="19">
        <v>5</v>
      </c>
      <c r="O169" s="19">
        <v>12.5</v>
      </c>
      <c r="P169" s="19">
        <v>411</v>
      </c>
      <c r="Q169" s="19">
        <v>340</v>
      </c>
      <c r="R169" s="19">
        <f t="shared" si="3"/>
        <v>71</v>
      </c>
      <c r="S169" s="19" t="s">
        <v>1</v>
      </c>
      <c r="T169" s="2">
        <v>0.7</v>
      </c>
      <c r="U169" s="3">
        <v>0.2</v>
      </c>
      <c r="V169" s="3">
        <v>0.1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4">
        <v>0</v>
      </c>
      <c r="AM169" s="2">
        <v>1</v>
      </c>
      <c r="AN169" s="3">
        <v>0</v>
      </c>
      <c r="AO169" s="3">
        <v>1</v>
      </c>
      <c r="AP169" s="3">
        <v>0</v>
      </c>
      <c r="AQ169" s="3">
        <v>0</v>
      </c>
      <c r="AR169" s="3">
        <v>1</v>
      </c>
      <c r="AS169" s="3">
        <v>1</v>
      </c>
      <c r="AT169" s="3">
        <v>1</v>
      </c>
      <c r="AU169" s="3">
        <v>0</v>
      </c>
      <c r="AV169" s="3">
        <v>1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1</v>
      </c>
      <c r="BG169" s="3">
        <v>0</v>
      </c>
      <c r="BH169" s="3">
        <v>0</v>
      </c>
      <c r="BI169" s="3">
        <v>1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1</v>
      </c>
      <c r="BP169" s="3">
        <v>1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4">
        <v>0</v>
      </c>
      <c r="BZ169" s="2">
        <v>0</v>
      </c>
      <c r="CA169" s="3">
        <v>0</v>
      </c>
      <c r="CB169" s="3">
        <v>1</v>
      </c>
      <c r="CC169" s="3">
        <v>0</v>
      </c>
      <c r="CD169" s="3">
        <v>1</v>
      </c>
      <c r="CE169" s="3">
        <v>0</v>
      </c>
      <c r="CF169" s="3">
        <v>1</v>
      </c>
      <c r="CG169" s="3">
        <v>0</v>
      </c>
      <c r="CH169" s="3">
        <v>0</v>
      </c>
      <c r="CI169" s="3">
        <v>1</v>
      </c>
      <c r="CJ169" s="3">
        <v>0</v>
      </c>
      <c r="CK169" s="3">
        <v>0</v>
      </c>
      <c r="CL169" s="3">
        <v>1</v>
      </c>
      <c r="CM169" s="3">
        <v>1</v>
      </c>
      <c r="CN169" s="3">
        <v>0</v>
      </c>
      <c r="CO169" s="3">
        <v>0</v>
      </c>
      <c r="CP169" s="3">
        <v>0</v>
      </c>
      <c r="CQ169" s="3">
        <v>1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4">
        <v>0</v>
      </c>
      <c r="DD169" s="20" t="s">
        <v>316</v>
      </c>
    </row>
    <row r="170" spans="1:108" x14ac:dyDescent="0.3">
      <c r="A170" s="2" t="s">
        <v>317</v>
      </c>
      <c r="B170" s="3">
        <v>1</v>
      </c>
      <c r="C170" s="6">
        <v>0</v>
      </c>
      <c r="D170" s="6">
        <v>0</v>
      </c>
      <c r="E170" s="6">
        <v>0</v>
      </c>
      <c r="F170" s="3">
        <v>0</v>
      </c>
      <c r="G170" s="7">
        <v>0</v>
      </c>
      <c r="H170" s="2">
        <v>12</v>
      </c>
      <c r="I170" s="3">
        <v>170</v>
      </c>
      <c r="J170" s="3">
        <v>500</v>
      </c>
      <c r="K170" s="3">
        <v>0</v>
      </c>
      <c r="L170" s="4">
        <v>0</v>
      </c>
      <c r="N170" s="19">
        <v>3</v>
      </c>
      <c r="O170" s="19">
        <v>7</v>
      </c>
      <c r="P170" s="19">
        <v>461</v>
      </c>
      <c r="Q170" s="19">
        <v>383</v>
      </c>
      <c r="R170" s="19">
        <f t="shared" si="3"/>
        <v>78</v>
      </c>
      <c r="S170" s="19" t="s">
        <v>1</v>
      </c>
      <c r="BZ170" s="2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1</v>
      </c>
      <c r="CG170" s="3">
        <v>0</v>
      </c>
      <c r="CH170" s="3">
        <v>0</v>
      </c>
      <c r="CI170" s="3">
        <v>1</v>
      </c>
      <c r="CJ170" s="3">
        <v>0</v>
      </c>
      <c r="CK170" s="3">
        <v>0</v>
      </c>
      <c r="CL170" s="3">
        <v>1</v>
      </c>
      <c r="CM170" s="3">
        <v>1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4">
        <v>0</v>
      </c>
      <c r="DD170" s="20" t="s">
        <v>318</v>
      </c>
    </row>
    <row r="171" spans="1:108" x14ac:dyDescent="0.3">
      <c r="A171" s="2" t="s">
        <v>319</v>
      </c>
      <c r="B171" s="3">
        <v>0</v>
      </c>
      <c r="C171" s="3">
        <v>1</v>
      </c>
      <c r="D171" s="3">
        <v>0</v>
      </c>
      <c r="E171" s="3">
        <v>0</v>
      </c>
      <c r="F171" s="3">
        <v>0</v>
      </c>
      <c r="G171" s="4">
        <v>0</v>
      </c>
      <c r="H171" s="2">
        <v>18</v>
      </c>
      <c r="I171" s="3">
        <v>200</v>
      </c>
      <c r="J171" s="3">
        <v>1</v>
      </c>
      <c r="K171" s="3">
        <v>25</v>
      </c>
      <c r="L171" s="4">
        <v>0</v>
      </c>
      <c r="N171" s="19">
        <v>3.96</v>
      </c>
      <c r="O171" s="19">
        <v>10.85</v>
      </c>
      <c r="P171" s="19">
        <v>450</v>
      </c>
      <c r="Q171" s="19">
        <v>380</v>
      </c>
      <c r="R171" s="19">
        <f t="shared" si="3"/>
        <v>70</v>
      </c>
      <c r="S171" s="19" t="s">
        <v>1</v>
      </c>
      <c r="BZ171" s="2">
        <v>1</v>
      </c>
      <c r="CA171" s="3">
        <v>0</v>
      </c>
      <c r="CB171" s="3">
        <v>0</v>
      </c>
      <c r="CC171" s="3">
        <v>1</v>
      </c>
      <c r="CD171" s="3">
        <v>1</v>
      </c>
      <c r="CE171" s="3">
        <v>0</v>
      </c>
      <c r="CF171" s="3">
        <v>1</v>
      </c>
      <c r="CG171" s="3">
        <v>0</v>
      </c>
      <c r="CH171" s="3">
        <v>0</v>
      </c>
      <c r="CI171" s="3">
        <v>1</v>
      </c>
      <c r="CJ171" s="3">
        <v>0</v>
      </c>
      <c r="CK171" s="3">
        <v>0</v>
      </c>
      <c r="CL171" s="3">
        <v>1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4">
        <v>0</v>
      </c>
      <c r="DD171" s="20" t="s">
        <v>320</v>
      </c>
    </row>
    <row r="172" spans="1:108" x14ac:dyDescent="0.3">
      <c r="A172" s="2" t="s">
        <v>321</v>
      </c>
      <c r="B172" s="3">
        <v>0</v>
      </c>
      <c r="C172" s="6">
        <v>0</v>
      </c>
      <c r="D172" s="6">
        <v>0</v>
      </c>
      <c r="E172" s="6">
        <v>1</v>
      </c>
      <c r="F172" s="3">
        <v>0</v>
      </c>
      <c r="G172" s="7">
        <v>0</v>
      </c>
      <c r="H172" s="2">
        <v>4</v>
      </c>
      <c r="I172" s="3">
        <v>180</v>
      </c>
      <c r="J172" s="3">
        <v>1</v>
      </c>
      <c r="K172" s="3">
        <v>50</v>
      </c>
      <c r="L172" s="4">
        <v>0</v>
      </c>
      <c r="N172" s="19">
        <v>3.2</v>
      </c>
      <c r="P172" s="19">
        <v>465</v>
      </c>
      <c r="Q172" s="19">
        <v>380</v>
      </c>
      <c r="R172" s="19">
        <f t="shared" si="3"/>
        <v>85</v>
      </c>
      <c r="S172" s="19" t="s">
        <v>1</v>
      </c>
      <c r="T172" s="2">
        <v>0.75339999999999996</v>
      </c>
      <c r="U172" s="3">
        <v>0.19489999999999999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4">
        <v>0</v>
      </c>
      <c r="AM172" s="2">
        <v>1</v>
      </c>
      <c r="AN172" s="3">
        <v>0</v>
      </c>
      <c r="AO172" s="3">
        <v>1</v>
      </c>
      <c r="AP172" s="3">
        <v>1</v>
      </c>
      <c r="AQ172" s="3">
        <v>1</v>
      </c>
      <c r="AR172" s="3">
        <v>1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1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4">
        <v>0</v>
      </c>
      <c r="BZ172" s="2">
        <v>0</v>
      </c>
      <c r="CA172" s="3">
        <v>0</v>
      </c>
      <c r="CB172" s="3">
        <v>0</v>
      </c>
      <c r="CC172" s="3">
        <v>0</v>
      </c>
      <c r="CD172" s="3">
        <v>1</v>
      </c>
      <c r="CE172" s="3">
        <v>0</v>
      </c>
      <c r="CF172" s="3">
        <v>1</v>
      </c>
      <c r="CG172" s="3">
        <v>0</v>
      </c>
      <c r="CH172" s="3">
        <v>0</v>
      </c>
      <c r="CI172" s="3">
        <v>1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4">
        <v>0</v>
      </c>
      <c r="DD172" s="20" t="s">
        <v>322</v>
      </c>
    </row>
    <row r="173" spans="1:108" x14ac:dyDescent="0.3">
      <c r="A173" s="2" t="s">
        <v>323</v>
      </c>
      <c r="B173" s="3">
        <v>1</v>
      </c>
      <c r="C173" s="6">
        <v>0</v>
      </c>
      <c r="D173" s="6">
        <v>0</v>
      </c>
      <c r="E173" s="6">
        <v>0</v>
      </c>
      <c r="F173" s="3">
        <v>0</v>
      </c>
      <c r="G173" s="7">
        <v>0</v>
      </c>
      <c r="H173" s="2">
        <v>20</v>
      </c>
      <c r="I173" s="3">
        <v>200</v>
      </c>
      <c r="J173" s="3">
        <v>25</v>
      </c>
      <c r="K173" s="3">
        <v>0</v>
      </c>
      <c r="L173" s="4">
        <v>0</v>
      </c>
      <c r="N173" s="19">
        <v>4</v>
      </c>
      <c r="P173" s="19">
        <v>450</v>
      </c>
      <c r="Q173" s="19">
        <v>360</v>
      </c>
      <c r="R173" s="19">
        <f t="shared" si="3"/>
        <v>90</v>
      </c>
      <c r="S173" s="19" t="s">
        <v>1</v>
      </c>
      <c r="T173" s="2">
        <v>0.76249999999999996</v>
      </c>
      <c r="U173" s="3">
        <v>0.21179999999999999</v>
      </c>
      <c r="V173" s="3">
        <v>4.5699999999999998E-2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4">
        <v>0</v>
      </c>
      <c r="AM173" s="2">
        <v>1</v>
      </c>
      <c r="AN173" s="3">
        <v>0</v>
      </c>
      <c r="AO173" s="3">
        <v>1</v>
      </c>
      <c r="AP173" s="3">
        <v>1</v>
      </c>
      <c r="AQ173" s="3">
        <v>0</v>
      </c>
      <c r="AR173" s="3">
        <v>1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1</v>
      </c>
      <c r="BE173" s="3">
        <v>0</v>
      </c>
      <c r="BF173" s="3">
        <v>1</v>
      </c>
      <c r="BG173" s="3">
        <v>0</v>
      </c>
      <c r="BH173" s="3">
        <v>0</v>
      </c>
      <c r="BI173" s="3">
        <v>1</v>
      </c>
      <c r="BJ173" s="3">
        <v>0</v>
      </c>
      <c r="BK173" s="3">
        <v>0</v>
      </c>
      <c r="BL173" s="3">
        <v>0</v>
      </c>
      <c r="BM173" s="3">
        <v>0</v>
      </c>
      <c r="BN173" s="3">
        <v>1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4">
        <v>0</v>
      </c>
      <c r="BZ173" s="2">
        <v>0</v>
      </c>
      <c r="CA173" s="3">
        <v>1</v>
      </c>
      <c r="CB173" s="3">
        <v>0</v>
      </c>
      <c r="CC173" s="3">
        <v>0</v>
      </c>
      <c r="CD173" s="3">
        <v>1</v>
      </c>
      <c r="CE173" s="3">
        <v>1</v>
      </c>
      <c r="CF173" s="3">
        <v>1</v>
      </c>
      <c r="CG173" s="3">
        <v>0</v>
      </c>
      <c r="CH173" s="3">
        <v>0</v>
      </c>
      <c r="CI173" s="3">
        <v>1</v>
      </c>
      <c r="CJ173" s="3">
        <v>0</v>
      </c>
      <c r="CK173" s="3">
        <v>0</v>
      </c>
      <c r="CL173" s="3">
        <v>1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4">
        <v>0</v>
      </c>
      <c r="DD173" s="20" t="s">
        <v>324</v>
      </c>
    </row>
    <row r="174" spans="1:108" x14ac:dyDescent="0.3">
      <c r="A174" s="2" t="s">
        <v>325</v>
      </c>
      <c r="B174" s="3">
        <v>0</v>
      </c>
      <c r="C174" s="3">
        <v>1</v>
      </c>
      <c r="D174" s="3">
        <v>0</v>
      </c>
      <c r="E174" s="3">
        <v>0</v>
      </c>
      <c r="F174" s="3">
        <v>0</v>
      </c>
      <c r="G174" s="4">
        <v>0</v>
      </c>
      <c r="H174" s="2">
        <v>16</v>
      </c>
      <c r="I174" s="3">
        <v>180</v>
      </c>
      <c r="J174" s="3">
        <v>0.1</v>
      </c>
      <c r="K174" s="3">
        <v>10</v>
      </c>
      <c r="L174" s="4">
        <v>1</v>
      </c>
      <c r="N174" s="19">
        <v>5</v>
      </c>
      <c r="O174" s="19">
        <v>7.47</v>
      </c>
      <c r="P174" s="19">
        <v>450</v>
      </c>
      <c r="Q174" s="19">
        <v>330</v>
      </c>
      <c r="R174" s="19">
        <f t="shared" si="3"/>
        <v>120</v>
      </c>
      <c r="S174" s="19" t="s">
        <v>1</v>
      </c>
      <c r="AM174" s="2">
        <v>1</v>
      </c>
      <c r="AN174" s="3">
        <v>0</v>
      </c>
      <c r="AO174" s="3">
        <v>1</v>
      </c>
      <c r="AP174" s="3">
        <v>1</v>
      </c>
      <c r="AQ174" s="3">
        <v>1</v>
      </c>
      <c r="AR174" s="3">
        <v>1</v>
      </c>
      <c r="AS174" s="3">
        <v>1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4">
        <v>0</v>
      </c>
      <c r="BZ174" s="2">
        <v>0</v>
      </c>
      <c r="CA174" s="3">
        <v>0</v>
      </c>
      <c r="CB174" s="3">
        <v>1</v>
      </c>
      <c r="CC174" s="3">
        <v>1</v>
      </c>
      <c r="CD174" s="3">
        <v>0</v>
      </c>
      <c r="CE174" s="3">
        <v>1</v>
      </c>
      <c r="CF174" s="3">
        <v>1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1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4">
        <v>0</v>
      </c>
      <c r="DD174" s="20" t="s">
        <v>326</v>
      </c>
    </row>
    <row r="175" spans="1:108" x14ac:dyDescent="0.3">
      <c r="A175" s="2" t="s">
        <v>327</v>
      </c>
      <c r="B175" s="6">
        <v>0</v>
      </c>
      <c r="C175" s="6">
        <v>0</v>
      </c>
      <c r="D175" s="6">
        <v>1</v>
      </c>
      <c r="E175" s="6">
        <v>0</v>
      </c>
      <c r="F175" s="6">
        <v>0</v>
      </c>
      <c r="G175" s="7">
        <v>0</v>
      </c>
      <c r="H175" s="2">
        <v>3</v>
      </c>
      <c r="I175" s="3">
        <v>120</v>
      </c>
      <c r="L175" s="4">
        <v>0</v>
      </c>
      <c r="M175" s="19">
        <v>17.64</v>
      </c>
      <c r="N175" s="19">
        <v>4.5</v>
      </c>
      <c r="O175" s="19">
        <v>10.86</v>
      </c>
      <c r="P175" s="19">
        <v>465</v>
      </c>
      <c r="Q175" s="19">
        <v>390</v>
      </c>
      <c r="R175" s="19">
        <f t="shared" si="3"/>
        <v>75</v>
      </c>
      <c r="S175" s="19" t="s">
        <v>2</v>
      </c>
      <c r="T175" s="2">
        <v>0.66900000000000004</v>
      </c>
      <c r="U175" s="3">
        <v>0.28000000000000003</v>
      </c>
      <c r="V175" s="3">
        <v>5.0999999999999997E-2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4">
        <v>0</v>
      </c>
      <c r="AM175" s="2">
        <v>1</v>
      </c>
      <c r="AN175" s="3">
        <v>0</v>
      </c>
      <c r="AO175" s="3">
        <v>1</v>
      </c>
      <c r="AP175" s="3">
        <v>1</v>
      </c>
      <c r="AQ175" s="3">
        <v>1</v>
      </c>
      <c r="AR175" s="3">
        <v>1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1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1</v>
      </c>
      <c r="BJ175" s="3">
        <v>0</v>
      </c>
      <c r="BK175" s="3">
        <v>1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4">
        <v>0</v>
      </c>
      <c r="BZ175" s="2">
        <v>0</v>
      </c>
      <c r="CA175" s="3">
        <v>0</v>
      </c>
      <c r="CB175" s="3">
        <v>1</v>
      </c>
      <c r="CC175" s="3">
        <v>0</v>
      </c>
      <c r="CD175" s="3">
        <v>1</v>
      </c>
      <c r="CE175" s="3">
        <v>1</v>
      </c>
      <c r="CF175" s="3">
        <v>1</v>
      </c>
      <c r="CG175" s="3">
        <v>0</v>
      </c>
      <c r="CH175" s="3">
        <v>0</v>
      </c>
      <c r="CI175" s="3">
        <v>1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1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4">
        <v>0</v>
      </c>
      <c r="DD175" s="20" t="s">
        <v>328</v>
      </c>
    </row>
    <row r="176" spans="1:108" x14ac:dyDescent="0.3">
      <c r="A176" s="2" t="s">
        <v>329</v>
      </c>
      <c r="B176" s="6">
        <v>0</v>
      </c>
      <c r="C176" s="6">
        <v>0</v>
      </c>
      <c r="D176" s="6">
        <v>1</v>
      </c>
      <c r="E176" s="6">
        <v>0</v>
      </c>
      <c r="F176" s="6">
        <v>0</v>
      </c>
      <c r="G176" s="7">
        <v>0</v>
      </c>
      <c r="H176" s="2">
        <v>3</v>
      </c>
      <c r="I176" s="3">
        <v>120</v>
      </c>
      <c r="L176" s="4">
        <v>0</v>
      </c>
      <c r="M176" s="19">
        <v>9.36</v>
      </c>
      <c r="N176" s="19">
        <v>6.5</v>
      </c>
      <c r="O176" s="19">
        <v>0.35</v>
      </c>
      <c r="P176" s="19">
        <v>420</v>
      </c>
      <c r="Q176" s="19">
        <v>330</v>
      </c>
      <c r="R176" s="19">
        <f t="shared" si="3"/>
        <v>90</v>
      </c>
      <c r="S176" s="19" t="s">
        <v>1</v>
      </c>
      <c r="T176" s="2">
        <v>0.67200000000000004</v>
      </c>
      <c r="U176" s="3">
        <v>0.25900000000000001</v>
      </c>
      <c r="V176" s="3">
        <v>6.9000000000000006E-2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4">
        <v>0</v>
      </c>
      <c r="AM176" s="2">
        <v>1</v>
      </c>
      <c r="AN176" s="3">
        <v>0</v>
      </c>
      <c r="AO176" s="3">
        <v>1</v>
      </c>
      <c r="AP176" s="3">
        <v>1</v>
      </c>
      <c r="AQ176" s="3">
        <v>1</v>
      </c>
      <c r="AR176" s="3">
        <v>1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1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1</v>
      </c>
      <c r="BJ176" s="3">
        <v>0</v>
      </c>
      <c r="BK176" s="3">
        <v>1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4">
        <v>0</v>
      </c>
      <c r="BZ176" s="2">
        <v>0</v>
      </c>
      <c r="CA176" s="3">
        <v>0</v>
      </c>
      <c r="CB176" s="3">
        <v>1</v>
      </c>
      <c r="CC176" s="3">
        <v>1</v>
      </c>
      <c r="CD176" s="3">
        <v>1</v>
      </c>
      <c r="CE176" s="3">
        <v>1</v>
      </c>
      <c r="CF176" s="3">
        <v>1</v>
      </c>
      <c r="CG176" s="3">
        <v>0</v>
      </c>
      <c r="CH176" s="3">
        <v>0</v>
      </c>
      <c r="CI176" s="3">
        <v>1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1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4">
        <v>0</v>
      </c>
      <c r="DD176" s="20" t="s">
        <v>328</v>
      </c>
    </row>
    <row r="177" spans="1:108" x14ac:dyDescent="0.3">
      <c r="A177" s="2" t="s">
        <v>329</v>
      </c>
      <c r="B177" s="6">
        <v>0</v>
      </c>
      <c r="C177" s="6">
        <v>0</v>
      </c>
      <c r="D177" s="6">
        <v>1</v>
      </c>
      <c r="E177" s="6">
        <v>0</v>
      </c>
      <c r="F177" s="6">
        <v>0</v>
      </c>
      <c r="G177" s="7">
        <v>0</v>
      </c>
      <c r="H177" s="2">
        <v>3</v>
      </c>
      <c r="I177" s="3">
        <v>120</v>
      </c>
      <c r="L177" s="4">
        <v>0</v>
      </c>
      <c r="M177" s="19">
        <v>22.47</v>
      </c>
      <c r="N177" s="19">
        <v>3.5</v>
      </c>
      <c r="O177" s="19">
        <v>0.71</v>
      </c>
      <c r="P177" s="19">
        <v>390</v>
      </c>
      <c r="Q177" s="19">
        <v>330</v>
      </c>
      <c r="R177" s="19">
        <f t="shared" si="3"/>
        <v>60</v>
      </c>
      <c r="S177" s="19" t="s">
        <v>1</v>
      </c>
      <c r="T177" s="2">
        <v>0.63700000000000001</v>
      </c>
      <c r="U177" s="3">
        <v>0.24</v>
      </c>
      <c r="V177" s="3">
        <v>0.123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4">
        <v>0</v>
      </c>
      <c r="AM177" s="2">
        <v>1</v>
      </c>
      <c r="AN177" s="3">
        <v>0</v>
      </c>
      <c r="AO177" s="3">
        <v>1</v>
      </c>
      <c r="AP177" s="3">
        <v>1</v>
      </c>
      <c r="AQ177" s="3">
        <v>1</v>
      </c>
      <c r="AR177" s="3">
        <v>1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1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1</v>
      </c>
      <c r="BJ177" s="3">
        <v>0</v>
      </c>
      <c r="BK177" s="3">
        <v>1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4">
        <v>0</v>
      </c>
      <c r="BZ177" s="2">
        <v>0</v>
      </c>
      <c r="CA177" s="3">
        <v>0</v>
      </c>
      <c r="CB177" s="3">
        <v>1</v>
      </c>
      <c r="CC177" s="3">
        <v>1</v>
      </c>
      <c r="CD177" s="3">
        <v>1</v>
      </c>
      <c r="CE177" s="3">
        <v>1</v>
      </c>
      <c r="CF177" s="3">
        <v>1</v>
      </c>
      <c r="CG177" s="3">
        <v>0</v>
      </c>
      <c r="CH177" s="3">
        <v>0</v>
      </c>
      <c r="CI177" s="3">
        <v>1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1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4">
        <v>0</v>
      </c>
      <c r="DD177" s="20" t="s">
        <v>328</v>
      </c>
    </row>
    <row r="178" spans="1:108" x14ac:dyDescent="0.3">
      <c r="A178" s="2" t="s">
        <v>330</v>
      </c>
      <c r="B178" s="6">
        <v>1</v>
      </c>
      <c r="C178" s="6">
        <v>0</v>
      </c>
      <c r="D178" s="6">
        <v>0</v>
      </c>
      <c r="E178" s="6">
        <v>0</v>
      </c>
      <c r="F178" s="6">
        <v>0</v>
      </c>
      <c r="G178" s="7">
        <v>0</v>
      </c>
      <c r="H178" s="2">
        <v>12</v>
      </c>
      <c r="I178" s="3">
        <v>200</v>
      </c>
      <c r="J178" s="3">
        <v>50</v>
      </c>
      <c r="K178" s="3">
        <v>0</v>
      </c>
      <c r="L178" s="4">
        <v>1</v>
      </c>
      <c r="N178" s="19">
        <v>5</v>
      </c>
      <c r="O178" s="19">
        <v>13.5</v>
      </c>
      <c r="P178" s="19">
        <v>411</v>
      </c>
      <c r="Q178" s="19">
        <v>340</v>
      </c>
      <c r="R178" s="19">
        <f t="shared" si="3"/>
        <v>71</v>
      </c>
      <c r="S178" s="19" t="s">
        <v>1</v>
      </c>
      <c r="T178" s="2">
        <v>0.73</v>
      </c>
      <c r="U178" s="3">
        <v>0.22</v>
      </c>
      <c r="V178" s="3">
        <v>0.02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4">
        <v>0</v>
      </c>
      <c r="AM178" s="2">
        <v>1</v>
      </c>
      <c r="AN178" s="3">
        <v>0</v>
      </c>
      <c r="AO178" s="3">
        <v>1</v>
      </c>
      <c r="AP178" s="3">
        <v>0</v>
      </c>
      <c r="AQ178" s="3">
        <v>0</v>
      </c>
      <c r="AR178" s="3">
        <v>1</v>
      </c>
      <c r="AS178" s="3">
        <v>1</v>
      </c>
      <c r="AT178" s="3">
        <v>1</v>
      </c>
      <c r="AU178" s="3">
        <v>0</v>
      </c>
      <c r="AV178" s="3">
        <v>1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1</v>
      </c>
      <c r="BG178" s="3">
        <v>0</v>
      </c>
      <c r="BH178" s="3">
        <v>0</v>
      </c>
      <c r="BI178" s="3">
        <v>1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1</v>
      </c>
      <c r="BP178" s="3">
        <v>1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4">
        <v>0</v>
      </c>
      <c r="BZ178" s="2">
        <v>0</v>
      </c>
      <c r="CA178" s="3">
        <v>0</v>
      </c>
      <c r="CB178" s="3">
        <v>1</v>
      </c>
      <c r="CC178" s="3">
        <v>0</v>
      </c>
      <c r="CD178" s="3">
        <v>1</v>
      </c>
      <c r="CE178" s="3">
        <v>0</v>
      </c>
      <c r="CF178" s="3">
        <v>1</v>
      </c>
      <c r="CG178" s="3">
        <v>0</v>
      </c>
      <c r="CH178" s="3">
        <v>0</v>
      </c>
      <c r="CI178" s="3">
        <v>1</v>
      </c>
      <c r="CJ178" s="3">
        <v>0</v>
      </c>
      <c r="CK178" s="3">
        <v>0</v>
      </c>
      <c r="CL178" s="3">
        <v>1</v>
      </c>
      <c r="CM178" s="3">
        <v>1</v>
      </c>
      <c r="CN178" s="3">
        <v>0</v>
      </c>
      <c r="CO178" s="3">
        <v>0</v>
      </c>
      <c r="CP178" s="3">
        <v>0</v>
      </c>
      <c r="CQ178" s="3">
        <v>1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4">
        <v>0</v>
      </c>
      <c r="DD178" s="20" t="s">
        <v>331</v>
      </c>
    </row>
    <row r="179" spans="1:108" x14ac:dyDescent="0.3">
      <c r="A179" s="2" t="s">
        <v>332</v>
      </c>
      <c r="B179" s="6">
        <v>0</v>
      </c>
      <c r="C179" s="6">
        <v>1</v>
      </c>
      <c r="D179" s="6">
        <v>0</v>
      </c>
      <c r="E179" s="6">
        <v>0</v>
      </c>
      <c r="F179" s="6">
        <v>0</v>
      </c>
      <c r="G179" s="7">
        <v>0</v>
      </c>
      <c r="H179" s="2">
        <v>12</v>
      </c>
      <c r="I179" s="3">
        <v>200</v>
      </c>
      <c r="J179" s="3">
        <v>2</v>
      </c>
      <c r="K179" s="3">
        <v>20</v>
      </c>
      <c r="L179" s="4">
        <v>0</v>
      </c>
      <c r="N179" s="19">
        <v>6.11</v>
      </c>
      <c r="O179" s="19">
        <v>11</v>
      </c>
      <c r="P179" s="19">
        <v>462</v>
      </c>
      <c r="Q179" s="19">
        <v>390</v>
      </c>
      <c r="R179" s="19">
        <f t="shared" si="3"/>
        <v>72</v>
      </c>
      <c r="S179" s="19" t="s">
        <v>1</v>
      </c>
      <c r="AM179" s="2">
        <v>0</v>
      </c>
      <c r="AN179" s="3">
        <v>0</v>
      </c>
      <c r="AO179" s="3">
        <v>1</v>
      </c>
      <c r="AP179" s="3">
        <v>0</v>
      </c>
      <c r="AQ179" s="3">
        <v>0</v>
      </c>
      <c r="AR179" s="3">
        <v>1</v>
      </c>
      <c r="AS179" s="3">
        <v>0</v>
      </c>
      <c r="AT179" s="3">
        <v>0</v>
      </c>
      <c r="AU179" s="3">
        <v>0</v>
      </c>
      <c r="AV179" s="3">
        <v>1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1</v>
      </c>
      <c r="BG179" s="3">
        <v>0</v>
      </c>
      <c r="BH179" s="3">
        <v>0</v>
      </c>
      <c r="BI179" s="3">
        <v>1</v>
      </c>
      <c r="BJ179" s="3">
        <v>0</v>
      </c>
      <c r="BK179" s="3">
        <v>0</v>
      </c>
      <c r="BL179" s="3">
        <v>0</v>
      </c>
      <c r="BM179" s="3">
        <v>1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4">
        <v>0</v>
      </c>
      <c r="DD179" s="20" t="s">
        <v>333</v>
      </c>
    </row>
    <row r="180" spans="1:108" x14ac:dyDescent="0.3">
      <c r="A180" s="2" t="s">
        <v>334</v>
      </c>
      <c r="B180" s="6">
        <v>0</v>
      </c>
      <c r="C180" s="6">
        <v>0</v>
      </c>
      <c r="D180" s="6">
        <v>1</v>
      </c>
      <c r="E180" s="6">
        <v>0</v>
      </c>
      <c r="F180" s="6">
        <v>0</v>
      </c>
      <c r="G180" s="7">
        <v>0</v>
      </c>
      <c r="H180" s="2">
        <v>8</v>
      </c>
      <c r="I180" s="3">
        <v>190</v>
      </c>
      <c r="L180" s="4">
        <v>0</v>
      </c>
      <c r="N180" s="19">
        <v>4</v>
      </c>
      <c r="P180" s="19">
        <v>445</v>
      </c>
      <c r="Q180" s="19">
        <v>360</v>
      </c>
      <c r="R180" s="19">
        <f t="shared" si="3"/>
        <v>85</v>
      </c>
      <c r="S180" s="19" t="s">
        <v>1</v>
      </c>
      <c r="AM180" s="2">
        <v>0</v>
      </c>
      <c r="AN180" s="3">
        <v>0</v>
      </c>
      <c r="AO180" s="3">
        <v>1</v>
      </c>
      <c r="AP180" s="3">
        <v>1</v>
      </c>
      <c r="AQ180" s="3">
        <v>0</v>
      </c>
      <c r="AR180" s="3">
        <v>1</v>
      </c>
      <c r="AS180" s="3">
        <v>0</v>
      </c>
      <c r="AT180" s="3">
        <v>1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1</v>
      </c>
      <c r="BE180" s="3">
        <v>1</v>
      </c>
      <c r="BF180" s="3">
        <v>1</v>
      </c>
      <c r="BG180" s="3">
        <v>0</v>
      </c>
      <c r="BH180" s="3">
        <v>1</v>
      </c>
      <c r="BI180" s="3">
        <v>0</v>
      </c>
      <c r="BJ180" s="3">
        <v>0</v>
      </c>
      <c r="BK180" s="3">
        <v>0</v>
      </c>
      <c r="BL180" s="3">
        <v>0</v>
      </c>
      <c r="BM180" s="3">
        <v>1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4">
        <v>0</v>
      </c>
      <c r="BZ180" s="2">
        <v>0</v>
      </c>
      <c r="CA180" s="3">
        <v>0</v>
      </c>
      <c r="CB180" s="3">
        <v>0</v>
      </c>
      <c r="CC180" s="3">
        <v>0</v>
      </c>
      <c r="CD180" s="3">
        <v>1</v>
      </c>
      <c r="CE180" s="3">
        <v>0</v>
      </c>
      <c r="CF180" s="3">
        <v>1</v>
      </c>
      <c r="CG180" s="3">
        <v>0</v>
      </c>
      <c r="CH180" s="3">
        <v>0</v>
      </c>
      <c r="CI180" s="3">
        <v>1</v>
      </c>
      <c r="CJ180" s="3">
        <v>0</v>
      </c>
      <c r="CK180" s="3">
        <v>0</v>
      </c>
      <c r="CL180" s="3">
        <v>1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4">
        <v>0</v>
      </c>
      <c r="DD180" s="20" t="s">
        <v>335</v>
      </c>
    </row>
    <row r="181" spans="1:108" x14ac:dyDescent="0.3">
      <c r="A181" s="2" t="s">
        <v>336</v>
      </c>
      <c r="B181" s="6">
        <v>0</v>
      </c>
      <c r="C181" s="6">
        <v>0</v>
      </c>
      <c r="D181" s="6">
        <v>0</v>
      </c>
      <c r="E181" s="6">
        <v>1</v>
      </c>
      <c r="F181" s="6">
        <v>0</v>
      </c>
      <c r="G181" s="7">
        <v>0</v>
      </c>
      <c r="H181" s="2">
        <v>4</v>
      </c>
      <c r="I181" s="3">
        <v>180</v>
      </c>
      <c r="J181" s="3">
        <v>1</v>
      </c>
      <c r="K181" s="3">
        <v>50</v>
      </c>
      <c r="L181" s="4">
        <v>0</v>
      </c>
      <c r="N181" s="19">
        <v>19.600000000000001</v>
      </c>
      <c r="P181" s="19">
        <v>436</v>
      </c>
      <c r="Q181" s="19">
        <v>355</v>
      </c>
      <c r="R181" s="19">
        <f t="shared" si="3"/>
        <v>81</v>
      </c>
      <c r="S181" s="19" t="s">
        <v>1</v>
      </c>
      <c r="T181" s="2">
        <v>0.66300000000000003</v>
      </c>
      <c r="U181" s="3">
        <v>0.21260000000000001</v>
      </c>
      <c r="V181" s="3">
        <v>0.1244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4">
        <v>0</v>
      </c>
      <c r="AM181" s="2">
        <v>0</v>
      </c>
      <c r="AN181" s="3">
        <v>0</v>
      </c>
      <c r="AO181" s="3">
        <v>1</v>
      </c>
      <c r="AP181" s="3">
        <v>0</v>
      </c>
      <c r="AQ181" s="3">
        <v>1</v>
      </c>
      <c r="AR181" s="3">
        <v>1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1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1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4">
        <v>0</v>
      </c>
      <c r="BZ181" s="2">
        <v>0</v>
      </c>
      <c r="CA181" s="3">
        <v>0</v>
      </c>
      <c r="CB181" s="3">
        <v>0</v>
      </c>
      <c r="CC181" s="3">
        <v>0</v>
      </c>
      <c r="CD181" s="3">
        <v>1</v>
      </c>
      <c r="CE181" s="3">
        <v>1</v>
      </c>
      <c r="CF181" s="3">
        <v>1</v>
      </c>
      <c r="CG181" s="3">
        <v>0</v>
      </c>
      <c r="CH181" s="3">
        <v>0</v>
      </c>
      <c r="CI181" s="3">
        <v>1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4">
        <v>0</v>
      </c>
      <c r="DD181" s="20" t="s">
        <v>337</v>
      </c>
    </row>
    <row r="182" spans="1:108" x14ac:dyDescent="0.3">
      <c r="A182" s="2" t="s">
        <v>338</v>
      </c>
      <c r="B182" s="6">
        <v>1</v>
      </c>
      <c r="C182" s="6">
        <v>0</v>
      </c>
      <c r="D182" s="6">
        <v>0</v>
      </c>
      <c r="E182" s="6">
        <v>0</v>
      </c>
      <c r="F182" s="6">
        <v>0</v>
      </c>
      <c r="G182" s="7">
        <v>0</v>
      </c>
      <c r="H182" s="2">
        <v>2.5</v>
      </c>
      <c r="I182" s="3">
        <v>120</v>
      </c>
      <c r="J182" s="3">
        <v>40</v>
      </c>
      <c r="K182" s="3">
        <v>0</v>
      </c>
      <c r="L182" s="4">
        <v>0</v>
      </c>
      <c r="M182" s="19">
        <v>10</v>
      </c>
      <c r="N182" s="19">
        <v>2.5</v>
      </c>
      <c r="O182" s="19">
        <v>25.6</v>
      </c>
      <c r="P182" s="19">
        <v>441</v>
      </c>
      <c r="Q182" s="19">
        <v>360</v>
      </c>
      <c r="R182" s="19">
        <f t="shared" si="3"/>
        <v>81</v>
      </c>
      <c r="S182" s="19" t="s">
        <v>2</v>
      </c>
      <c r="T182" s="2">
        <v>0.86109999999999998</v>
      </c>
      <c r="U182" s="3">
        <v>0.13880000000000001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4">
        <v>0</v>
      </c>
      <c r="AM182" s="2">
        <v>1</v>
      </c>
      <c r="AN182" s="3">
        <v>0</v>
      </c>
      <c r="AO182" s="3">
        <v>1</v>
      </c>
      <c r="AP182" s="3">
        <v>1</v>
      </c>
      <c r="AQ182" s="3">
        <v>0</v>
      </c>
      <c r="AR182" s="3">
        <v>1</v>
      </c>
      <c r="AS182" s="3">
        <v>1</v>
      </c>
      <c r="AT182" s="3">
        <v>1</v>
      </c>
      <c r="AU182" s="3">
        <v>0</v>
      </c>
      <c r="AV182" s="3">
        <v>1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4">
        <v>0</v>
      </c>
      <c r="BZ182" s="2">
        <v>0</v>
      </c>
      <c r="CA182" s="3">
        <v>0</v>
      </c>
      <c r="CB182" s="3">
        <v>0</v>
      </c>
      <c r="CC182" s="3">
        <v>1</v>
      </c>
      <c r="CD182" s="3">
        <v>1</v>
      </c>
      <c r="CE182" s="3">
        <v>0</v>
      </c>
      <c r="CF182" s="3">
        <v>1</v>
      </c>
      <c r="CG182" s="3">
        <v>0</v>
      </c>
      <c r="CH182" s="3">
        <v>0</v>
      </c>
      <c r="CI182" s="3">
        <v>1</v>
      </c>
      <c r="CJ182" s="3">
        <v>0</v>
      </c>
      <c r="CK182" s="3">
        <v>0</v>
      </c>
      <c r="CL182" s="3">
        <v>1</v>
      </c>
      <c r="CM182" s="3">
        <v>1</v>
      </c>
      <c r="CN182" s="3">
        <v>0</v>
      </c>
      <c r="CO182" s="3">
        <v>0</v>
      </c>
      <c r="CP182" s="3">
        <v>0</v>
      </c>
      <c r="CQ182" s="3">
        <v>1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4">
        <v>0</v>
      </c>
      <c r="DD182" s="20" t="s">
        <v>339</v>
      </c>
    </row>
    <row r="183" spans="1:108" x14ac:dyDescent="0.3">
      <c r="A183" s="2" t="s">
        <v>340</v>
      </c>
      <c r="B183" s="6">
        <v>0</v>
      </c>
      <c r="C183" s="6">
        <v>0</v>
      </c>
      <c r="D183" s="6">
        <v>1</v>
      </c>
      <c r="E183" s="6">
        <v>0</v>
      </c>
      <c r="F183" s="6">
        <v>0</v>
      </c>
      <c r="G183" s="7">
        <v>0</v>
      </c>
      <c r="H183" s="2">
        <v>12</v>
      </c>
      <c r="I183" s="3">
        <v>180</v>
      </c>
      <c r="J183" s="3">
        <v>0.4</v>
      </c>
      <c r="K183" s="3">
        <v>40</v>
      </c>
      <c r="L183" s="4">
        <v>0</v>
      </c>
      <c r="N183" s="19">
        <v>5</v>
      </c>
      <c r="O183" s="19">
        <v>28.7</v>
      </c>
      <c r="P183" s="19">
        <v>440</v>
      </c>
      <c r="Q183" s="19">
        <v>360</v>
      </c>
      <c r="R183" s="19">
        <f t="shared" si="3"/>
        <v>80</v>
      </c>
      <c r="S183" s="19" t="s">
        <v>2</v>
      </c>
      <c r="BZ183" s="2">
        <v>1</v>
      </c>
      <c r="CA183" s="3">
        <v>0</v>
      </c>
      <c r="CB183" s="3">
        <v>0</v>
      </c>
      <c r="CC183" s="3">
        <v>0</v>
      </c>
      <c r="CD183" s="3">
        <v>1</v>
      </c>
      <c r="CE183" s="3">
        <v>1</v>
      </c>
      <c r="CF183" s="3">
        <v>1</v>
      </c>
      <c r="CG183" s="3">
        <v>0</v>
      </c>
      <c r="CH183" s="3">
        <v>0</v>
      </c>
      <c r="CI183" s="3">
        <v>1</v>
      </c>
      <c r="CJ183" s="3">
        <v>0</v>
      </c>
      <c r="CK183" s="3">
        <v>0</v>
      </c>
      <c r="CL183" s="3">
        <v>1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4">
        <v>0</v>
      </c>
      <c r="DD183" s="20" t="s">
        <v>341</v>
      </c>
    </row>
    <row r="184" spans="1:108" x14ac:dyDescent="0.3">
      <c r="A184" s="2" t="s">
        <v>342</v>
      </c>
      <c r="B184" s="6">
        <v>0</v>
      </c>
      <c r="C184" s="6">
        <v>0</v>
      </c>
      <c r="D184" s="6">
        <v>0</v>
      </c>
      <c r="E184" s="6">
        <v>1</v>
      </c>
      <c r="F184" s="6">
        <v>0</v>
      </c>
      <c r="G184" s="7">
        <v>0</v>
      </c>
      <c r="H184" s="2">
        <v>10</v>
      </c>
      <c r="I184" s="3">
        <v>180</v>
      </c>
      <c r="J184" s="3">
        <v>2</v>
      </c>
      <c r="K184" s="3">
        <v>10</v>
      </c>
      <c r="L184" s="4">
        <v>0</v>
      </c>
      <c r="N184" s="19">
        <v>2.8</v>
      </c>
      <c r="O184" s="19">
        <v>32.6</v>
      </c>
      <c r="P184" s="19">
        <v>437</v>
      </c>
      <c r="Q184" s="19">
        <v>320</v>
      </c>
      <c r="R184" s="19">
        <f t="shared" si="3"/>
        <v>117</v>
      </c>
      <c r="S184" s="19" t="s">
        <v>1</v>
      </c>
      <c r="T184" s="2">
        <v>0.65200000000000002</v>
      </c>
      <c r="U184" s="3">
        <v>0.20050000000000001</v>
      </c>
      <c r="V184" s="3">
        <v>0.1452</v>
      </c>
      <c r="W184" s="3">
        <v>0</v>
      </c>
      <c r="X184" s="3">
        <v>0</v>
      </c>
      <c r="Y184" s="3">
        <f>0.22/100</f>
        <v>2.2000000000000001E-3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f>0.01/100</f>
        <v>1E-4</v>
      </c>
      <c r="AL184" s="4">
        <v>0</v>
      </c>
      <c r="AM184" s="2">
        <v>0</v>
      </c>
      <c r="AN184" s="3">
        <v>0</v>
      </c>
      <c r="AO184" s="3">
        <v>1</v>
      </c>
      <c r="AP184" s="3">
        <v>1</v>
      </c>
      <c r="AQ184" s="3">
        <v>1</v>
      </c>
      <c r="AR184" s="3">
        <v>1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1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1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1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4">
        <v>0</v>
      </c>
      <c r="BZ184" s="2">
        <v>1</v>
      </c>
      <c r="CA184" s="3">
        <v>0</v>
      </c>
      <c r="CB184" s="3">
        <v>1</v>
      </c>
      <c r="CC184" s="3">
        <v>1</v>
      </c>
      <c r="CD184" s="3">
        <v>1</v>
      </c>
      <c r="CE184" s="3">
        <v>1</v>
      </c>
      <c r="CF184" s="3">
        <v>1</v>
      </c>
      <c r="CG184" s="3">
        <v>1</v>
      </c>
      <c r="CH184" s="3">
        <v>0</v>
      </c>
      <c r="CI184" s="3">
        <v>1</v>
      </c>
      <c r="CJ184" s="3">
        <v>1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1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4">
        <v>0</v>
      </c>
      <c r="DD184" s="20" t="s">
        <v>343</v>
      </c>
    </row>
    <row r="185" spans="1:108" x14ac:dyDescent="0.3">
      <c r="A185" s="2" t="s">
        <v>344</v>
      </c>
      <c r="B185" s="6">
        <v>0</v>
      </c>
      <c r="C185" s="6">
        <v>1</v>
      </c>
      <c r="D185" s="6">
        <v>0</v>
      </c>
      <c r="E185" s="6">
        <v>0</v>
      </c>
      <c r="F185" s="6">
        <v>0</v>
      </c>
      <c r="G185" s="7">
        <v>0</v>
      </c>
      <c r="H185" s="2">
        <v>12</v>
      </c>
      <c r="I185" s="3">
        <v>170</v>
      </c>
      <c r="J185" s="3">
        <v>400</v>
      </c>
      <c r="K185" s="3">
        <v>500</v>
      </c>
      <c r="L185" s="4">
        <v>0</v>
      </c>
      <c r="N185" s="19">
        <v>1</v>
      </c>
      <c r="O185" s="19">
        <v>6.14</v>
      </c>
      <c r="P185" s="19">
        <v>455</v>
      </c>
      <c r="Q185" s="19">
        <v>374</v>
      </c>
      <c r="R185" s="19">
        <f t="shared" si="3"/>
        <v>81</v>
      </c>
      <c r="S185" s="19" t="s">
        <v>1</v>
      </c>
      <c r="T185" s="2">
        <v>0.48799999999999999</v>
      </c>
      <c r="U185" s="3">
        <v>0.44190000000000002</v>
      </c>
      <c r="V185" s="3">
        <f>1.94/100</f>
        <v>1.9400000000000001E-2</v>
      </c>
      <c r="W185" s="3">
        <v>0</v>
      </c>
      <c r="X185" s="3">
        <v>0</v>
      </c>
      <c r="Y185" s="3">
        <f>0.59/100</f>
        <v>5.8999999999999999E-3</v>
      </c>
      <c r="Z185" s="3">
        <f>4.48/100</f>
        <v>4.4800000000000006E-2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4">
        <v>0</v>
      </c>
      <c r="BZ185" s="2">
        <v>0</v>
      </c>
      <c r="CA185" s="3">
        <v>0</v>
      </c>
      <c r="CB185" s="3">
        <v>1</v>
      </c>
      <c r="CC185" s="3">
        <v>1</v>
      </c>
      <c r="CD185" s="3">
        <v>1</v>
      </c>
      <c r="CE185" s="3">
        <v>0</v>
      </c>
      <c r="CF185" s="3">
        <v>1</v>
      </c>
      <c r="CG185" s="3">
        <v>0</v>
      </c>
      <c r="CH185" s="3">
        <v>0</v>
      </c>
      <c r="CI185" s="3">
        <v>1</v>
      </c>
      <c r="CJ185" s="3">
        <v>0</v>
      </c>
      <c r="CK185" s="3">
        <v>0</v>
      </c>
      <c r="CL185" s="3">
        <v>1</v>
      </c>
      <c r="CM185" s="3">
        <v>0</v>
      </c>
      <c r="CN185" s="3">
        <v>0</v>
      </c>
      <c r="CO185" s="3">
        <v>0</v>
      </c>
      <c r="CP185" s="3">
        <v>0</v>
      </c>
      <c r="CQ185" s="3">
        <v>1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4">
        <v>0</v>
      </c>
      <c r="DD185" s="20" t="s">
        <v>345</v>
      </c>
    </row>
    <row r="186" spans="1:108" x14ac:dyDescent="0.3">
      <c r="A186" s="2" t="s">
        <v>346</v>
      </c>
      <c r="B186" s="6">
        <v>0</v>
      </c>
      <c r="C186" s="6">
        <v>0</v>
      </c>
      <c r="D186" s="6">
        <v>0</v>
      </c>
      <c r="E186" s="6">
        <v>0</v>
      </c>
      <c r="F186" s="3">
        <v>1</v>
      </c>
      <c r="G186" s="7">
        <v>0</v>
      </c>
      <c r="H186" s="2">
        <v>3</v>
      </c>
      <c r="I186" s="3">
        <v>200</v>
      </c>
      <c r="J186" s="3">
        <v>20</v>
      </c>
      <c r="K186" s="3">
        <v>0</v>
      </c>
      <c r="L186" s="4">
        <v>1</v>
      </c>
      <c r="N186" s="19">
        <v>4.25</v>
      </c>
      <c r="O186" s="19">
        <v>22</v>
      </c>
      <c r="P186" s="19">
        <v>435</v>
      </c>
      <c r="Q186" s="19">
        <v>370</v>
      </c>
      <c r="R186" s="19">
        <f t="shared" si="3"/>
        <v>65</v>
      </c>
      <c r="AM186" s="2">
        <v>1</v>
      </c>
      <c r="AN186" s="3">
        <v>0</v>
      </c>
      <c r="AO186" s="3">
        <v>1</v>
      </c>
      <c r="AP186" s="3">
        <v>1</v>
      </c>
      <c r="AQ186" s="3">
        <v>1</v>
      </c>
      <c r="AR186" s="3">
        <v>1</v>
      </c>
      <c r="AS186" s="3">
        <v>0</v>
      </c>
      <c r="AT186" s="3">
        <v>1</v>
      </c>
      <c r="AU186" s="3">
        <v>0</v>
      </c>
      <c r="AV186" s="3">
        <v>1</v>
      </c>
      <c r="AW186" s="3">
        <v>0</v>
      </c>
      <c r="AX186" s="3">
        <v>0</v>
      </c>
      <c r="AY186" s="3">
        <v>1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1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1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4">
        <v>0</v>
      </c>
      <c r="BZ186" s="2">
        <v>0</v>
      </c>
      <c r="CA186" s="3">
        <v>0</v>
      </c>
      <c r="CB186" s="3">
        <v>1</v>
      </c>
      <c r="CC186" s="3">
        <v>0</v>
      </c>
      <c r="CD186" s="3">
        <v>1</v>
      </c>
      <c r="CE186" s="3">
        <v>1</v>
      </c>
      <c r="CF186" s="3">
        <v>0</v>
      </c>
      <c r="CG186" s="3">
        <v>0</v>
      </c>
      <c r="CH186" s="3">
        <v>0</v>
      </c>
      <c r="CI186" s="3">
        <v>1</v>
      </c>
      <c r="CJ186" s="3">
        <v>0</v>
      </c>
      <c r="CK186" s="3">
        <v>1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4">
        <v>0</v>
      </c>
      <c r="DD186" s="20" t="s">
        <v>347</v>
      </c>
    </row>
    <row r="187" spans="1:108" x14ac:dyDescent="0.3">
      <c r="A187" s="2" t="s">
        <v>348</v>
      </c>
      <c r="B187" s="16">
        <v>0</v>
      </c>
      <c r="C187" s="16">
        <v>0</v>
      </c>
      <c r="D187" s="16">
        <v>0</v>
      </c>
      <c r="E187" s="16">
        <v>0</v>
      </c>
      <c r="F187" s="16">
        <v>1</v>
      </c>
      <c r="G187" s="17">
        <v>0</v>
      </c>
      <c r="H187" s="2">
        <v>8</v>
      </c>
      <c r="I187" s="3">
        <v>200</v>
      </c>
      <c r="J187" s="3">
        <v>2</v>
      </c>
      <c r="K187" s="3">
        <v>10</v>
      </c>
      <c r="L187" s="4">
        <v>0</v>
      </c>
      <c r="N187" s="19">
        <v>2.5</v>
      </c>
      <c r="O187" s="19">
        <v>12.5</v>
      </c>
      <c r="P187" s="19">
        <v>430</v>
      </c>
      <c r="Q187" s="19">
        <v>340</v>
      </c>
      <c r="R187" s="19">
        <f t="shared" si="3"/>
        <v>90</v>
      </c>
      <c r="S187" s="19" t="s">
        <v>1</v>
      </c>
      <c r="T187" s="2">
        <v>0.45960000000000001</v>
      </c>
      <c r="U187" s="3">
        <v>0.44390000000000002</v>
      </c>
      <c r="V187" s="3">
        <v>5.6300000000000003E-2</v>
      </c>
      <c r="W187" s="3">
        <v>0</v>
      </c>
      <c r="X187" s="3">
        <v>0</v>
      </c>
      <c r="Y187" s="3">
        <f>0.24/100</f>
        <v>2.3999999999999998E-3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4">
        <v>0</v>
      </c>
      <c r="BZ187" s="2">
        <v>0</v>
      </c>
      <c r="CA187" s="3">
        <v>0</v>
      </c>
      <c r="CB187" s="3">
        <v>1</v>
      </c>
      <c r="CC187" s="3">
        <v>1</v>
      </c>
      <c r="CD187" s="3">
        <v>1</v>
      </c>
      <c r="CE187" s="3">
        <v>1</v>
      </c>
      <c r="CF187" s="3">
        <v>1</v>
      </c>
      <c r="CG187" s="3">
        <v>0</v>
      </c>
      <c r="CH187" s="3">
        <v>0</v>
      </c>
      <c r="CI187" s="3">
        <v>1</v>
      </c>
      <c r="CJ187" s="3">
        <v>0</v>
      </c>
      <c r="CK187" s="3">
        <v>0</v>
      </c>
      <c r="CL187" s="3">
        <v>1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4">
        <v>0</v>
      </c>
      <c r="DD187" s="20" t="s">
        <v>349</v>
      </c>
    </row>
    <row r="188" spans="1:108" x14ac:dyDescent="0.3">
      <c r="A188" s="2" t="s">
        <v>350</v>
      </c>
      <c r="B188" s="16">
        <v>0</v>
      </c>
      <c r="C188" s="16">
        <v>0</v>
      </c>
      <c r="D188" s="16">
        <v>0</v>
      </c>
      <c r="E188" s="16">
        <v>0</v>
      </c>
      <c r="F188" s="16">
        <v>1</v>
      </c>
      <c r="G188" s="17">
        <v>0</v>
      </c>
      <c r="H188" s="2">
        <v>10</v>
      </c>
      <c r="I188" s="3">
        <v>160</v>
      </c>
      <c r="J188" s="3">
        <v>0.24</v>
      </c>
      <c r="K188" s="3">
        <v>50</v>
      </c>
      <c r="L188" s="4">
        <v>1</v>
      </c>
      <c r="M188" s="19">
        <v>80</v>
      </c>
      <c r="N188" s="19">
        <v>2.2000000000000002</v>
      </c>
      <c r="O188" s="19">
        <v>20.7</v>
      </c>
      <c r="P188" s="19">
        <v>449</v>
      </c>
      <c r="Q188" s="19">
        <v>360</v>
      </c>
      <c r="R188" s="19">
        <f t="shared" si="3"/>
        <v>89</v>
      </c>
      <c r="S188" s="19" t="s">
        <v>1</v>
      </c>
      <c r="T188" s="2">
        <v>0.69499999999999995</v>
      </c>
      <c r="U188" s="3">
        <v>0.222</v>
      </c>
      <c r="V188" s="3">
        <v>8.3000000000000004E-2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4">
        <v>0</v>
      </c>
      <c r="AM188" s="2">
        <v>0</v>
      </c>
      <c r="AN188" s="3">
        <v>0</v>
      </c>
      <c r="AO188" s="3">
        <v>1</v>
      </c>
      <c r="AP188" s="3">
        <v>1</v>
      </c>
      <c r="AQ188" s="3">
        <v>1</v>
      </c>
      <c r="AR188" s="3">
        <v>1</v>
      </c>
      <c r="AS188" s="3">
        <v>0</v>
      </c>
      <c r="AT188" s="3">
        <v>1</v>
      </c>
      <c r="AU188" s="3">
        <v>0</v>
      </c>
      <c r="AV188" s="3">
        <v>1</v>
      </c>
      <c r="AW188" s="3">
        <v>0</v>
      </c>
      <c r="AX188" s="3">
        <v>0</v>
      </c>
      <c r="AY188" s="3">
        <v>1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4">
        <v>0</v>
      </c>
      <c r="BZ188" s="2">
        <v>0</v>
      </c>
      <c r="CA188" s="3">
        <v>1</v>
      </c>
      <c r="CB188" s="3">
        <v>0</v>
      </c>
      <c r="CC188" s="3">
        <v>1</v>
      </c>
      <c r="CD188" s="3">
        <v>1</v>
      </c>
      <c r="CE188" s="3">
        <v>0</v>
      </c>
      <c r="CF188" s="3">
        <v>1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1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4">
        <v>0</v>
      </c>
      <c r="DD188" s="20" t="s">
        <v>351</v>
      </c>
    </row>
    <row r="189" spans="1:108" x14ac:dyDescent="0.3">
      <c r="A189" s="2" t="s">
        <v>352</v>
      </c>
      <c r="B189" s="16">
        <v>0</v>
      </c>
      <c r="C189" s="16">
        <v>0</v>
      </c>
      <c r="D189" s="16">
        <v>0</v>
      </c>
      <c r="E189" s="16">
        <v>0</v>
      </c>
      <c r="F189" s="16">
        <v>1</v>
      </c>
      <c r="G189" s="17">
        <v>0</v>
      </c>
      <c r="H189" s="2">
        <v>7</v>
      </c>
      <c r="I189" s="3">
        <v>200</v>
      </c>
      <c r="J189" s="3">
        <v>0.1</v>
      </c>
      <c r="K189" s="3">
        <v>10</v>
      </c>
      <c r="L189" s="4">
        <v>1</v>
      </c>
      <c r="N189" s="19">
        <v>3.54</v>
      </c>
      <c r="O189" s="19">
        <v>0.9</v>
      </c>
      <c r="P189" s="19">
        <v>425</v>
      </c>
      <c r="Q189" s="19">
        <v>340</v>
      </c>
      <c r="R189" s="19">
        <f t="shared" si="3"/>
        <v>85</v>
      </c>
      <c r="S189" s="19" t="s">
        <v>1</v>
      </c>
      <c r="T189" s="2">
        <v>0.42199999999999999</v>
      </c>
      <c r="U189" s="3">
        <v>0.43480000000000002</v>
      </c>
      <c r="V189" s="3">
        <v>0</v>
      </c>
      <c r="W189" s="3">
        <v>0</v>
      </c>
      <c r="X189" s="3">
        <v>0</v>
      </c>
      <c r="Y189" s="3">
        <v>0.1002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4.2999999999999997E-2</v>
      </c>
      <c r="AH189" s="3">
        <v>0</v>
      </c>
      <c r="AI189" s="3">
        <v>0</v>
      </c>
      <c r="AJ189" s="3">
        <v>0</v>
      </c>
      <c r="AK189" s="3">
        <v>0</v>
      </c>
      <c r="AL189" s="4">
        <v>0</v>
      </c>
      <c r="AM189" s="2">
        <v>1</v>
      </c>
      <c r="AN189" s="3">
        <v>0</v>
      </c>
      <c r="AO189" s="3">
        <v>1</v>
      </c>
      <c r="AP189" s="3">
        <v>1</v>
      </c>
      <c r="AQ189" s="3">
        <v>0</v>
      </c>
      <c r="AR189" s="3">
        <v>1</v>
      </c>
      <c r="AS189" s="3">
        <v>0</v>
      </c>
      <c r="AT189" s="3">
        <v>1</v>
      </c>
      <c r="AU189" s="3">
        <v>0</v>
      </c>
      <c r="AV189" s="3">
        <v>1</v>
      </c>
      <c r="AW189" s="3">
        <v>0</v>
      </c>
      <c r="AX189" s="3">
        <v>0</v>
      </c>
      <c r="AY189" s="3">
        <v>0</v>
      </c>
      <c r="AZ189" s="3">
        <v>1</v>
      </c>
      <c r="BA189" s="3">
        <v>0</v>
      </c>
      <c r="BB189" s="3">
        <v>0</v>
      </c>
      <c r="BC189" s="3">
        <v>0</v>
      </c>
      <c r="BD189" s="3">
        <v>1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1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1</v>
      </c>
      <c r="BY189" s="4">
        <v>1</v>
      </c>
      <c r="BZ189" s="2">
        <v>1</v>
      </c>
      <c r="CA189" s="3">
        <v>0</v>
      </c>
      <c r="CB189" s="3">
        <v>0</v>
      </c>
      <c r="CC189" s="3">
        <v>0</v>
      </c>
      <c r="CD189" s="3">
        <v>1</v>
      </c>
      <c r="CE189" s="3">
        <v>0</v>
      </c>
      <c r="CF189" s="3">
        <v>1</v>
      </c>
      <c r="CG189" s="3">
        <v>1</v>
      </c>
      <c r="CH189" s="3">
        <v>0</v>
      </c>
      <c r="CI189" s="3">
        <v>1</v>
      </c>
      <c r="CJ189" s="3">
        <v>1</v>
      </c>
      <c r="CK189" s="3">
        <v>0</v>
      </c>
      <c r="CL189" s="3">
        <v>1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1</v>
      </c>
      <c r="CZ189" s="3">
        <v>0</v>
      </c>
      <c r="DA189" s="3">
        <v>0</v>
      </c>
      <c r="DB189" s="3">
        <v>1</v>
      </c>
      <c r="DC189" s="4">
        <v>1</v>
      </c>
      <c r="DD189" s="20" t="s">
        <v>353</v>
      </c>
    </row>
    <row r="190" spans="1:108" x14ac:dyDescent="0.3">
      <c r="A190" s="2" t="s">
        <v>354</v>
      </c>
      <c r="B190" s="3">
        <v>0</v>
      </c>
      <c r="C190" s="3">
        <v>1</v>
      </c>
      <c r="D190" s="3">
        <v>0</v>
      </c>
      <c r="E190" s="3">
        <v>0</v>
      </c>
      <c r="F190" s="3">
        <v>0</v>
      </c>
      <c r="G190" s="4">
        <v>0</v>
      </c>
      <c r="H190" s="2">
        <v>2</v>
      </c>
      <c r="I190" s="3">
        <v>180</v>
      </c>
      <c r="J190" s="3">
        <v>30</v>
      </c>
      <c r="K190" s="3">
        <v>0</v>
      </c>
      <c r="L190" s="4">
        <v>1</v>
      </c>
      <c r="N190" s="19">
        <v>2.5</v>
      </c>
      <c r="O190" s="19">
        <v>48</v>
      </c>
      <c r="P190" s="19">
        <v>500</v>
      </c>
      <c r="Q190" s="19">
        <v>420</v>
      </c>
      <c r="R190" s="19">
        <f t="shared" si="3"/>
        <v>80</v>
      </c>
      <c r="S190" s="19" t="s">
        <v>2</v>
      </c>
      <c r="AM190" s="2">
        <v>1</v>
      </c>
      <c r="AN190" s="3">
        <v>0</v>
      </c>
      <c r="AO190" s="3">
        <v>1</v>
      </c>
      <c r="AP190" s="3">
        <v>1</v>
      </c>
      <c r="AQ190" s="3">
        <v>0</v>
      </c>
      <c r="AR190" s="3">
        <v>1</v>
      </c>
      <c r="AS190" s="3">
        <v>0</v>
      </c>
      <c r="AT190" s="3">
        <v>1</v>
      </c>
      <c r="AU190" s="3">
        <v>0</v>
      </c>
      <c r="AV190" s="3">
        <v>1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4">
        <v>0</v>
      </c>
      <c r="BZ190" s="2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1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1</v>
      </c>
      <c r="CM190" s="3">
        <v>0</v>
      </c>
      <c r="CN190" s="3">
        <v>0</v>
      </c>
      <c r="CO190" s="3">
        <v>0</v>
      </c>
      <c r="CP190" s="3">
        <v>0</v>
      </c>
      <c r="CQ190" s="3">
        <v>1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4">
        <v>0</v>
      </c>
      <c r="DD190" s="20" t="s">
        <v>355</v>
      </c>
    </row>
    <row r="191" spans="1:108" x14ac:dyDescent="0.3">
      <c r="A191" s="2" t="s">
        <v>356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7">
        <v>1</v>
      </c>
      <c r="H191" s="2">
        <v>8</v>
      </c>
      <c r="I191" s="3">
        <v>180</v>
      </c>
      <c r="J191" s="3">
        <v>10</v>
      </c>
      <c r="K191" s="3">
        <v>20</v>
      </c>
      <c r="L191" s="4">
        <v>1</v>
      </c>
      <c r="N191" s="19">
        <v>10</v>
      </c>
      <c r="O191" s="19">
        <v>4.5</v>
      </c>
      <c r="P191" s="19">
        <v>550</v>
      </c>
      <c r="Q191" s="19">
        <v>450</v>
      </c>
      <c r="R191" s="19">
        <f t="shared" si="3"/>
        <v>100</v>
      </c>
      <c r="S191" s="19" t="s">
        <v>2</v>
      </c>
      <c r="BZ191" s="2">
        <v>0</v>
      </c>
      <c r="CA191" s="3">
        <v>0</v>
      </c>
      <c r="CB191" s="3">
        <v>1</v>
      </c>
      <c r="CC191" s="3">
        <v>1</v>
      </c>
      <c r="CD191" s="3">
        <v>1</v>
      </c>
      <c r="CE191" s="3">
        <v>0</v>
      </c>
      <c r="CF191" s="3">
        <v>1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1</v>
      </c>
      <c r="CM191" s="3">
        <v>0</v>
      </c>
      <c r="CN191" s="3">
        <v>0</v>
      </c>
      <c r="CO191" s="3">
        <v>0</v>
      </c>
      <c r="CP191" s="3">
        <v>0</v>
      </c>
      <c r="CQ191" s="3">
        <v>1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4">
        <v>0</v>
      </c>
      <c r="DD191" s="20" t="s">
        <v>357</v>
      </c>
    </row>
    <row r="192" spans="1:108" x14ac:dyDescent="0.3">
      <c r="A192" s="2" t="s">
        <v>358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7">
        <v>1</v>
      </c>
      <c r="H192" s="2">
        <v>8</v>
      </c>
      <c r="I192" s="3">
        <v>180</v>
      </c>
      <c r="J192" s="3">
        <v>10</v>
      </c>
      <c r="K192" s="3">
        <v>20</v>
      </c>
      <c r="L192" s="4">
        <v>1</v>
      </c>
      <c r="N192" s="19">
        <v>7</v>
      </c>
      <c r="O192" s="19">
        <v>3.5</v>
      </c>
      <c r="P192" s="19">
        <v>500</v>
      </c>
      <c r="Q192" s="19">
        <v>430</v>
      </c>
      <c r="R192" s="19">
        <f t="shared" si="3"/>
        <v>70</v>
      </c>
      <c r="S192" s="19" t="s">
        <v>1</v>
      </c>
      <c r="BZ192" s="2">
        <v>0</v>
      </c>
      <c r="CA192" s="3">
        <v>0</v>
      </c>
      <c r="CB192" s="3">
        <v>0</v>
      </c>
      <c r="CC192" s="3">
        <v>1</v>
      </c>
      <c r="CD192" s="3">
        <v>1</v>
      </c>
      <c r="CE192" s="3">
        <v>1</v>
      </c>
      <c r="CF192" s="3">
        <v>1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1</v>
      </c>
      <c r="CM192" s="3">
        <v>0</v>
      </c>
      <c r="CN192" s="3">
        <v>0</v>
      </c>
      <c r="CO192" s="3">
        <v>0</v>
      </c>
      <c r="CP192" s="3">
        <v>0</v>
      </c>
      <c r="CQ192" s="3">
        <v>1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4">
        <v>0</v>
      </c>
      <c r="DD192" s="20" t="s">
        <v>357</v>
      </c>
    </row>
    <row r="193" spans="1:108" x14ac:dyDescent="0.3">
      <c r="A193" s="2" t="s">
        <v>359</v>
      </c>
      <c r="B193" s="3">
        <v>1</v>
      </c>
      <c r="C193" s="3">
        <v>0</v>
      </c>
      <c r="D193" s="3">
        <v>0</v>
      </c>
      <c r="E193" s="3">
        <v>0</v>
      </c>
      <c r="F193" s="3">
        <v>0</v>
      </c>
      <c r="G193" s="4">
        <v>0</v>
      </c>
      <c r="H193" s="2">
        <v>2</v>
      </c>
      <c r="I193" s="3">
        <v>150</v>
      </c>
      <c r="L193" s="4">
        <v>0</v>
      </c>
      <c r="N193" s="19">
        <v>10</v>
      </c>
      <c r="P193" s="19">
        <v>450</v>
      </c>
      <c r="Q193" s="19">
        <v>360</v>
      </c>
      <c r="R193" s="19">
        <f t="shared" si="3"/>
        <v>90</v>
      </c>
      <c r="S193" s="19" t="s">
        <v>1</v>
      </c>
      <c r="DD193" s="20" t="s">
        <v>360</v>
      </c>
    </row>
    <row r="194" spans="1:108" x14ac:dyDescent="0.3">
      <c r="A194" s="2" t="s">
        <v>361</v>
      </c>
      <c r="B194" s="6">
        <v>0</v>
      </c>
      <c r="C194" s="6">
        <v>0</v>
      </c>
      <c r="D194" s="6">
        <v>0</v>
      </c>
      <c r="E194" s="6">
        <v>0</v>
      </c>
      <c r="F194" s="3">
        <v>1</v>
      </c>
      <c r="G194" s="7">
        <v>0</v>
      </c>
      <c r="H194" s="2">
        <v>12</v>
      </c>
      <c r="I194" s="3">
        <v>180</v>
      </c>
      <c r="J194" s="3">
        <v>1</v>
      </c>
      <c r="K194" s="3">
        <v>80</v>
      </c>
      <c r="L194" s="4">
        <v>0</v>
      </c>
      <c r="N194" s="19">
        <v>5.5</v>
      </c>
      <c r="O194" s="19">
        <v>18.600000000000001</v>
      </c>
      <c r="P194" s="19">
        <v>410</v>
      </c>
      <c r="Q194" s="19">
        <v>340</v>
      </c>
      <c r="R194" s="19">
        <f t="shared" si="3"/>
        <v>70</v>
      </c>
      <c r="DD194" s="20" t="s">
        <v>362</v>
      </c>
    </row>
    <row r="195" spans="1:108" x14ac:dyDescent="0.3">
      <c r="A195" s="2" t="s">
        <v>363</v>
      </c>
      <c r="B195" s="3">
        <v>1</v>
      </c>
      <c r="C195" s="3">
        <v>0</v>
      </c>
      <c r="D195" s="3">
        <v>0</v>
      </c>
      <c r="E195" s="3">
        <v>0</v>
      </c>
      <c r="F195" s="3">
        <v>0</v>
      </c>
      <c r="G195" s="4">
        <v>0</v>
      </c>
      <c r="H195" s="2">
        <v>5</v>
      </c>
      <c r="I195" s="3">
        <v>180</v>
      </c>
      <c r="J195" s="3">
        <v>30</v>
      </c>
      <c r="K195" s="3">
        <v>0</v>
      </c>
      <c r="L195" s="4">
        <v>1</v>
      </c>
      <c r="N195" s="19">
        <v>30</v>
      </c>
      <c r="R195" s="19">
        <f t="shared" si="3"/>
        <v>0</v>
      </c>
      <c r="AM195" s="2">
        <v>1</v>
      </c>
      <c r="AN195" s="3">
        <v>0</v>
      </c>
      <c r="AO195" s="3">
        <v>1</v>
      </c>
      <c r="AP195" s="3">
        <v>1</v>
      </c>
      <c r="AQ195" s="3">
        <v>1</v>
      </c>
      <c r="AR195" s="3">
        <v>1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4">
        <v>0</v>
      </c>
      <c r="BZ195" s="2">
        <v>0</v>
      </c>
      <c r="CA195" s="3">
        <v>0</v>
      </c>
      <c r="CB195" s="3">
        <v>0</v>
      </c>
      <c r="CC195" s="3">
        <v>1</v>
      </c>
      <c r="CD195" s="3">
        <v>1</v>
      </c>
      <c r="CE195" s="3">
        <v>0</v>
      </c>
      <c r="CF195" s="3">
        <v>1</v>
      </c>
      <c r="CG195" s="3">
        <v>0</v>
      </c>
      <c r="CH195" s="3">
        <v>0</v>
      </c>
      <c r="CI195" s="3">
        <v>1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4">
        <v>0</v>
      </c>
      <c r="DD195" s="20" t="s">
        <v>364</v>
      </c>
    </row>
    <row r="196" spans="1:108" x14ac:dyDescent="0.3">
      <c r="A196" s="2" t="s">
        <v>365</v>
      </c>
      <c r="B196" s="6">
        <v>0</v>
      </c>
      <c r="C196" s="6">
        <v>0</v>
      </c>
      <c r="D196" s="6">
        <v>0</v>
      </c>
      <c r="E196" s="6">
        <v>0</v>
      </c>
      <c r="F196" s="3">
        <v>1</v>
      </c>
      <c r="G196" s="7">
        <v>0</v>
      </c>
      <c r="H196" s="2">
        <v>2</v>
      </c>
      <c r="I196" s="3">
        <v>150</v>
      </c>
      <c r="J196" s="3">
        <v>50</v>
      </c>
      <c r="K196" s="3">
        <v>250</v>
      </c>
      <c r="L196" s="4">
        <v>0</v>
      </c>
      <c r="N196" s="19">
        <v>50</v>
      </c>
      <c r="P196" s="19">
        <v>502</v>
      </c>
      <c r="Q196" s="19">
        <v>440</v>
      </c>
      <c r="R196" s="19">
        <f t="shared" si="3"/>
        <v>62</v>
      </c>
      <c r="S196" s="19" t="s">
        <v>2</v>
      </c>
      <c r="BZ196" s="2">
        <v>0</v>
      </c>
      <c r="CA196" s="3">
        <v>0</v>
      </c>
      <c r="CB196" s="3">
        <v>0</v>
      </c>
      <c r="CC196" s="3">
        <v>1</v>
      </c>
      <c r="CD196" s="3">
        <v>0</v>
      </c>
      <c r="CE196" s="3">
        <v>0</v>
      </c>
      <c r="CF196" s="3">
        <v>1</v>
      </c>
      <c r="CG196" s="3">
        <v>0</v>
      </c>
      <c r="CH196" s="3">
        <v>0</v>
      </c>
      <c r="CI196" s="3">
        <v>0</v>
      </c>
      <c r="CJ196" s="3">
        <v>0</v>
      </c>
      <c r="CK196" s="3">
        <v>1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4">
        <v>0</v>
      </c>
      <c r="DD196" s="20" t="s">
        <v>366</v>
      </c>
    </row>
    <row r="197" spans="1:108" x14ac:dyDescent="0.3">
      <c r="A197" s="2" t="s">
        <v>367</v>
      </c>
      <c r="B197" s="6">
        <v>0</v>
      </c>
      <c r="C197" s="6">
        <v>0</v>
      </c>
      <c r="D197" s="6">
        <v>0</v>
      </c>
      <c r="E197" s="6">
        <v>0</v>
      </c>
      <c r="F197" s="3">
        <v>1</v>
      </c>
      <c r="G197" s="7">
        <v>0</v>
      </c>
      <c r="H197" s="2">
        <v>2</v>
      </c>
      <c r="I197" s="3">
        <v>150</v>
      </c>
      <c r="J197" s="3">
        <v>50</v>
      </c>
      <c r="K197" s="3">
        <v>250</v>
      </c>
      <c r="L197" s="4">
        <v>0</v>
      </c>
      <c r="N197" s="19">
        <v>50</v>
      </c>
      <c r="P197" s="19">
        <v>487</v>
      </c>
      <c r="Q197" s="19">
        <v>360</v>
      </c>
      <c r="R197" s="19">
        <f t="shared" si="3"/>
        <v>127</v>
      </c>
      <c r="S197" s="19" t="s">
        <v>2</v>
      </c>
      <c r="BZ197" s="2">
        <v>0</v>
      </c>
      <c r="CA197" s="3">
        <v>0</v>
      </c>
      <c r="CB197" s="3">
        <v>0</v>
      </c>
      <c r="CC197" s="3">
        <v>1</v>
      </c>
      <c r="CD197" s="3">
        <v>0</v>
      </c>
      <c r="CE197" s="3">
        <v>0</v>
      </c>
      <c r="CF197" s="3">
        <v>1</v>
      </c>
      <c r="CG197" s="3">
        <v>0</v>
      </c>
      <c r="CH197" s="3">
        <v>0</v>
      </c>
      <c r="CI197" s="3">
        <v>0</v>
      </c>
      <c r="CJ197" s="3">
        <v>0</v>
      </c>
      <c r="CK197" s="3">
        <v>1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4">
        <v>0</v>
      </c>
      <c r="DD197" s="20" t="s">
        <v>366</v>
      </c>
    </row>
    <row r="198" spans="1:108" x14ac:dyDescent="0.3">
      <c r="A198" s="2" t="s">
        <v>368</v>
      </c>
      <c r="B198" s="6">
        <v>0</v>
      </c>
      <c r="C198" s="6">
        <v>0</v>
      </c>
      <c r="D198" s="6">
        <v>0</v>
      </c>
      <c r="E198" s="6">
        <v>0</v>
      </c>
      <c r="F198" s="3">
        <v>1</v>
      </c>
      <c r="G198" s="7">
        <v>0</v>
      </c>
      <c r="H198" s="2">
        <v>24</v>
      </c>
      <c r="I198" s="3">
        <v>200</v>
      </c>
      <c r="J198" s="3">
        <v>70</v>
      </c>
      <c r="K198" s="3">
        <v>0</v>
      </c>
      <c r="L198" s="4">
        <v>1</v>
      </c>
      <c r="N198" s="19">
        <v>5</v>
      </c>
      <c r="O198" s="19">
        <v>18</v>
      </c>
      <c r="P198" s="19">
        <v>440</v>
      </c>
      <c r="Q198" s="19">
        <v>360</v>
      </c>
      <c r="R198" s="19">
        <f t="shared" si="3"/>
        <v>80</v>
      </c>
      <c r="S198" s="19" t="s">
        <v>1</v>
      </c>
      <c r="AM198" s="2">
        <v>1</v>
      </c>
      <c r="AN198" s="3">
        <v>0</v>
      </c>
      <c r="AO198" s="3">
        <v>1</v>
      </c>
      <c r="AP198" s="3">
        <v>1</v>
      </c>
      <c r="AQ198" s="3">
        <v>1</v>
      </c>
      <c r="AR198" s="3">
        <v>1</v>
      </c>
      <c r="AS198" s="3">
        <v>0</v>
      </c>
      <c r="AT198" s="3">
        <v>0</v>
      </c>
      <c r="AU198" s="3">
        <v>0</v>
      </c>
      <c r="AV198" s="3">
        <v>1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1</v>
      </c>
      <c r="BG198" s="3">
        <v>0</v>
      </c>
      <c r="BH198" s="3">
        <v>0</v>
      </c>
      <c r="BI198" s="3">
        <v>1</v>
      </c>
      <c r="BJ198" s="3">
        <v>0</v>
      </c>
      <c r="BK198" s="3">
        <v>0</v>
      </c>
      <c r="BL198" s="3">
        <v>0</v>
      </c>
      <c r="BM198" s="3">
        <v>1</v>
      </c>
      <c r="BN198" s="3">
        <v>0</v>
      </c>
      <c r="BO198" s="3">
        <v>1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4">
        <v>0</v>
      </c>
      <c r="BZ198" s="2">
        <v>0</v>
      </c>
      <c r="CA198" s="3">
        <v>0</v>
      </c>
      <c r="CB198" s="3">
        <v>1</v>
      </c>
      <c r="CC198" s="3">
        <v>0</v>
      </c>
      <c r="CD198" s="3">
        <v>1</v>
      </c>
      <c r="CE198" s="3">
        <v>1</v>
      </c>
      <c r="CF198" s="3">
        <v>1</v>
      </c>
      <c r="CG198" s="3">
        <v>0</v>
      </c>
      <c r="CH198" s="3">
        <v>0</v>
      </c>
      <c r="CI198" s="3">
        <v>1</v>
      </c>
      <c r="CJ198" s="3">
        <v>0</v>
      </c>
      <c r="CK198" s="3">
        <v>0</v>
      </c>
      <c r="CL198" s="3">
        <v>1</v>
      </c>
      <c r="CM198" s="3">
        <v>1</v>
      </c>
      <c r="CN198" s="3">
        <v>0</v>
      </c>
      <c r="CO198" s="3">
        <v>0</v>
      </c>
      <c r="CP198" s="3">
        <v>0</v>
      </c>
      <c r="CQ198" s="3">
        <v>1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4">
        <v>0</v>
      </c>
      <c r="DD198" s="20" t="s">
        <v>369</v>
      </c>
    </row>
    <row r="199" spans="1:108" x14ac:dyDescent="0.3">
      <c r="A199" s="11" t="s">
        <v>370</v>
      </c>
      <c r="B199" s="6">
        <v>0</v>
      </c>
      <c r="C199" s="6">
        <v>0</v>
      </c>
      <c r="D199" s="6">
        <v>1</v>
      </c>
      <c r="E199" s="6">
        <v>0</v>
      </c>
      <c r="F199" s="6">
        <v>0</v>
      </c>
      <c r="G199" s="7">
        <v>0</v>
      </c>
      <c r="H199" s="2">
        <v>4</v>
      </c>
      <c r="I199" s="3">
        <v>150</v>
      </c>
      <c r="J199" s="3">
        <v>5</v>
      </c>
      <c r="K199" s="3">
        <v>100</v>
      </c>
      <c r="L199" s="4">
        <v>0</v>
      </c>
      <c r="N199" s="19">
        <v>6.14</v>
      </c>
      <c r="O199" s="19">
        <v>12.5</v>
      </c>
      <c r="P199" s="19">
        <v>510</v>
      </c>
      <c r="Q199" s="19">
        <v>420</v>
      </c>
      <c r="R199" s="19">
        <f t="shared" si="3"/>
        <v>90</v>
      </c>
      <c r="S199" s="19" t="s">
        <v>2</v>
      </c>
      <c r="T199" s="2">
        <v>0.61119999999999997</v>
      </c>
      <c r="U199" s="3">
        <v>0.29720000000000002</v>
      </c>
      <c r="V199" s="3">
        <v>7.0400000000000004E-2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4">
        <v>0</v>
      </c>
      <c r="AM199" s="2">
        <v>1</v>
      </c>
      <c r="AN199" s="3">
        <v>0</v>
      </c>
      <c r="AO199" s="3">
        <v>1</v>
      </c>
      <c r="AP199" s="3">
        <v>0</v>
      </c>
      <c r="AQ199" s="3">
        <v>0</v>
      </c>
      <c r="AR199" s="3">
        <v>1</v>
      </c>
      <c r="AS199" s="3">
        <v>0</v>
      </c>
      <c r="AT199" s="3">
        <v>1</v>
      </c>
      <c r="AU199" s="3">
        <v>0</v>
      </c>
      <c r="AV199" s="3">
        <v>1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1</v>
      </c>
      <c r="BJ199" s="3">
        <v>0</v>
      </c>
      <c r="BK199" s="3">
        <v>1</v>
      </c>
      <c r="BL199" s="3">
        <v>0</v>
      </c>
      <c r="BM199" s="3">
        <v>1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4">
        <v>0</v>
      </c>
      <c r="BZ199" s="2">
        <v>0</v>
      </c>
      <c r="CA199" s="3">
        <v>0</v>
      </c>
      <c r="CB199" s="3">
        <v>1</v>
      </c>
      <c r="CC199" s="3">
        <v>1</v>
      </c>
      <c r="CD199" s="3">
        <v>1</v>
      </c>
      <c r="CE199" s="3">
        <v>0</v>
      </c>
      <c r="CF199" s="3">
        <v>1</v>
      </c>
      <c r="CG199" s="3">
        <v>0</v>
      </c>
      <c r="CH199" s="3">
        <v>0</v>
      </c>
      <c r="CI199" s="3">
        <v>1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1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4">
        <v>0</v>
      </c>
      <c r="DD199" s="20" t="s">
        <v>371</v>
      </c>
    </row>
    <row r="200" spans="1:108" x14ac:dyDescent="0.3">
      <c r="A200" s="2" t="s">
        <v>372</v>
      </c>
      <c r="B200" s="6">
        <v>0</v>
      </c>
      <c r="C200" s="6">
        <v>0</v>
      </c>
      <c r="D200" s="6">
        <v>1</v>
      </c>
      <c r="E200" s="6">
        <v>0</v>
      </c>
      <c r="F200" s="6">
        <v>0</v>
      </c>
      <c r="G200" s="7">
        <v>0</v>
      </c>
      <c r="H200" s="2">
        <v>12</v>
      </c>
      <c r="I200" s="3">
        <v>180</v>
      </c>
      <c r="J200" s="3">
        <v>1</v>
      </c>
      <c r="K200" s="3">
        <v>100</v>
      </c>
      <c r="L200" s="4">
        <v>0</v>
      </c>
      <c r="N200" s="19">
        <v>5</v>
      </c>
      <c r="P200" s="19">
        <v>488</v>
      </c>
      <c r="Q200" s="19">
        <v>400</v>
      </c>
      <c r="R200" s="19">
        <f t="shared" si="3"/>
        <v>88</v>
      </c>
      <c r="T200" s="2">
        <v>0.66100000000000003</v>
      </c>
      <c r="U200" s="3">
        <v>0.27400000000000002</v>
      </c>
      <c r="V200" s="3">
        <v>0</v>
      </c>
      <c r="W200" s="3">
        <v>0</v>
      </c>
      <c r="X200" s="3">
        <v>0</v>
      </c>
      <c r="Y200" s="3">
        <f>0.6/100</f>
        <v>6.0000000000000001E-3</v>
      </c>
      <c r="Z200" s="3">
        <v>0</v>
      </c>
      <c r="AA200" s="3">
        <f>1.9/100</f>
        <v>1.9E-2</v>
      </c>
      <c r="AB200" s="3">
        <v>0</v>
      </c>
      <c r="AC200" s="3">
        <v>0</v>
      </c>
      <c r="AD200" s="3">
        <f>1.4/100</f>
        <v>1.3999999999999999E-2</v>
      </c>
      <c r="AE200" s="3">
        <f>1.4/100</f>
        <v>1.3999999999999999E-2</v>
      </c>
      <c r="AF200" s="3">
        <f>0.5/100</f>
        <v>5.0000000000000001E-3</v>
      </c>
      <c r="AG200" s="3">
        <f>0.7/100</f>
        <v>6.9999999999999993E-3</v>
      </c>
      <c r="AH200" s="3">
        <v>0</v>
      </c>
      <c r="AI200" s="3">
        <v>0</v>
      </c>
      <c r="AJ200" s="3">
        <v>0</v>
      </c>
      <c r="AK200" s="3">
        <v>0</v>
      </c>
      <c r="AL200" s="4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4">
        <v>0</v>
      </c>
      <c r="BZ200" s="2">
        <v>1</v>
      </c>
      <c r="CA200" s="3">
        <v>0</v>
      </c>
      <c r="CB200" s="3">
        <v>0</v>
      </c>
      <c r="CC200" s="3">
        <v>1</v>
      </c>
      <c r="CD200" s="3">
        <v>1</v>
      </c>
      <c r="CE200" s="3">
        <v>1</v>
      </c>
      <c r="CF200" s="3">
        <v>1</v>
      </c>
      <c r="CG200" s="3">
        <v>0</v>
      </c>
      <c r="CH200" s="3">
        <v>0</v>
      </c>
      <c r="CI200" s="3">
        <v>1</v>
      </c>
      <c r="CJ200" s="3">
        <v>0</v>
      </c>
      <c r="CK200" s="3">
        <v>0</v>
      </c>
      <c r="CL200" s="3">
        <v>1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4">
        <v>0</v>
      </c>
      <c r="DD200" s="20" t="s">
        <v>373</v>
      </c>
    </row>
    <row r="201" spans="1:108" x14ac:dyDescent="0.3">
      <c r="A201" s="2" t="s">
        <v>374</v>
      </c>
      <c r="B201" s="6">
        <v>0</v>
      </c>
      <c r="C201" s="6">
        <v>0</v>
      </c>
      <c r="D201" s="6">
        <v>1</v>
      </c>
      <c r="E201" s="6">
        <v>0</v>
      </c>
      <c r="F201" s="3">
        <v>0</v>
      </c>
      <c r="G201" s="7">
        <v>0</v>
      </c>
      <c r="H201" s="2">
        <v>12</v>
      </c>
      <c r="I201" s="3">
        <v>170</v>
      </c>
      <c r="J201" s="3">
        <v>250</v>
      </c>
      <c r="K201" s="3">
        <v>750</v>
      </c>
      <c r="L201" s="4">
        <v>0</v>
      </c>
      <c r="N201" s="19">
        <v>2.2999999999999998</v>
      </c>
      <c r="O201" s="19">
        <v>7.6</v>
      </c>
      <c r="P201" s="19">
        <v>455</v>
      </c>
      <c r="Q201" s="19">
        <v>381</v>
      </c>
      <c r="R201" s="19">
        <f t="shared" si="3"/>
        <v>74</v>
      </c>
      <c r="S201" s="19" t="s">
        <v>1</v>
      </c>
      <c r="BZ201" s="2">
        <v>0</v>
      </c>
      <c r="CA201" s="3">
        <v>1</v>
      </c>
      <c r="CB201" s="3">
        <v>0</v>
      </c>
      <c r="CC201" s="3">
        <v>0</v>
      </c>
      <c r="CD201" s="3">
        <v>1</v>
      </c>
      <c r="CE201" s="3">
        <v>1</v>
      </c>
      <c r="CF201" s="3">
        <v>1</v>
      </c>
      <c r="CG201" s="3">
        <v>0</v>
      </c>
      <c r="CH201" s="3">
        <v>0</v>
      </c>
      <c r="CI201" s="3">
        <v>1</v>
      </c>
      <c r="CJ201" s="3">
        <v>0</v>
      </c>
      <c r="CK201" s="3">
        <v>0</v>
      </c>
      <c r="CL201" s="3">
        <v>1</v>
      </c>
      <c r="CM201" s="3">
        <v>0</v>
      </c>
      <c r="CN201" s="3">
        <v>0</v>
      </c>
      <c r="CO201" s="3">
        <v>0</v>
      </c>
      <c r="CP201" s="3">
        <v>0</v>
      </c>
      <c r="CQ201" s="3">
        <v>1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4">
        <v>0</v>
      </c>
      <c r="DD201" s="20" t="s">
        <v>375</v>
      </c>
    </row>
    <row r="202" spans="1:108" s="1" customFormat="1" ht="16.2" thickBot="1" x14ac:dyDescent="0.35">
      <c r="A202" s="25" t="s">
        <v>376</v>
      </c>
      <c r="B202" s="22">
        <v>0</v>
      </c>
      <c r="C202" s="22">
        <v>0</v>
      </c>
      <c r="D202" s="22">
        <v>1</v>
      </c>
      <c r="E202" s="22">
        <v>0</v>
      </c>
      <c r="F202" s="23">
        <v>0</v>
      </c>
      <c r="G202" s="24">
        <v>0</v>
      </c>
      <c r="H202" s="25">
        <v>5</v>
      </c>
      <c r="I202" s="23">
        <v>200</v>
      </c>
      <c r="J202" s="23">
        <v>10</v>
      </c>
      <c r="K202" s="23">
        <v>60</v>
      </c>
      <c r="L202" s="26">
        <v>0</v>
      </c>
      <c r="M202" s="23"/>
      <c r="N202" s="23">
        <v>3.41</v>
      </c>
      <c r="O202" s="23">
        <v>63.7</v>
      </c>
      <c r="P202" s="23">
        <v>495</v>
      </c>
      <c r="Q202" s="23">
        <v>420</v>
      </c>
      <c r="R202" s="23">
        <f t="shared" si="3"/>
        <v>75</v>
      </c>
      <c r="S202" s="23" t="s">
        <v>1</v>
      </c>
      <c r="T202" s="25">
        <v>0.69920000000000004</v>
      </c>
      <c r="U202" s="23">
        <v>0.28039999999999998</v>
      </c>
      <c r="V202" s="23">
        <v>2.0299999999999999E-2</v>
      </c>
      <c r="W202" s="23">
        <v>0</v>
      </c>
      <c r="X202" s="23">
        <v>0</v>
      </c>
      <c r="Y202" s="23">
        <v>0</v>
      </c>
      <c r="Z202" s="23">
        <v>0</v>
      </c>
      <c r="AA202" s="23">
        <v>0</v>
      </c>
      <c r="AB202" s="23">
        <v>0</v>
      </c>
      <c r="AC202" s="23">
        <v>0</v>
      </c>
      <c r="AD202" s="23">
        <v>0</v>
      </c>
      <c r="AE202" s="23">
        <v>0</v>
      </c>
      <c r="AF202" s="23">
        <v>0</v>
      </c>
      <c r="AG202" s="23">
        <v>0</v>
      </c>
      <c r="AH202" s="23">
        <v>0</v>
      </c>
      <c r="AI202" s="23">
        <v>0</v>
      </c>
      <c r="AJ202" s="23">
        <v>0</v>
      </c>
      <c r="AK202" s="23">
        <v>0</v>
      </c>
      <c r="AL202" s="26">
        <v>0</v>
      </c>
      <c r="AM202" s="25">
        <v>1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1</v>
      </c>
      <c r="AU202" s="23">
        <v>0</v>
      </c>
      <c r="AV202" s="23">
        <v>1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0</v>
      </c>
      <c r="BH202" s="23">
        <v>0</v>
      </c>
      <c r="BI202" s="23">
        <v>0</v>
      </c>
      <c r="BJ202" s="23">
        <v>0</v>
      </c>
      <c r="BK202" s="23">
        <v>0</v>
      </c>
      <c r="BL202" s="23">
        <v>0</v>
      </c>
      <c r="BM202" s="23">
        <v>0</v>
      </c>
      <c r="BN202" s="23">
        <v>0</v>
      </c>
      <c r="BO202" s="23">
        <v>0</v>
      </c>
      <c r="BP202" s="23">
        <v>0</v>
      </c>
      <c r="BQ202" s="23">
        <v>0</v>
      </c>
      <c r="BR202" s="23">
        <v>0</v>
      </c>
      <c r="BS202" s="23">
        <v>0</v>
      </c>
      <c r="BT202" s="23">
        <v>0</v>
      </c>
      <c r="BU202" s="23">
        <v>0</v>
      </c>
      <c r="BV202" s="23">
        <v>0</v>
      </c>
      <c r="BW202" s="23">
        <v>0</v>
      </c>
      <c r="BX202" s="23">
        <v>0</v>
      </c>
      <c r="BY202" s="26">
        <v>0</v>
      </c>
      <c r="BZ202" s="25">
        <v>0</v>
      </c>
      <c r="CA202" s="23">
        <v>0</v>
      </c>
      <c r="CB202" s="23">
        <v>0</v>
      </c>
      <c r="CC202" s="23">
        <v>1</v>
      </c>
      <c r="CD202" s="23">
        <v>1</v>
      </c>
      <c r="CE202" s="23">
        <v>0</v>
      </c>
      <c r="CF202" s="23">
        <v>1</v>
      </c>
      <c r="CG202" s="23">
        <v>0</v>
      </c>
      <c r="CH202" s="23">
        <v>0</v>
      </c>
      <c r="CI202" s="23">
        <v>1</v>
      </c>
      <c r="CJ202" s="23">
        <v>0</v>
      </c>
      <c r="CK202" s="23">
        <v>0</v>
      </c>
      <c r="CL202" s="23">
        <v>0</v>
      </c>
      <c r="CM202" s="23">
        <v>0</v>
      </c>
      <c r="CN202" s="23">
        <v>0</v>
      </c>
      <c r="CO202" s="23">
        <v>0</v>
      </c>
      <c r="CP202" s="23">
        <v>0</v>
      </c>
      <c r="CQ202" s="23">
        <v>0</v>
      </c>
      <c r="CR202" s="23">
        <v>0</v>
      </c>
      <c r="CS202" s="23">
        <v>0</v>
      </c>
      <c r="CT202" s="23">
        <v>0</v>
      </c>
      <c r="CU202" s="23">
        <v>0</v>
      </c>
      <c r="CV202" s="23">
        <v>0</v>
      </c>
      <c r="CW202" s="23">
        <v>0</v>
      </c>
      <c r="CX202" s="23">
        <v>0</v>
      </c>
      <c r="CY202" s="23">
        <v>0</v>
      </c>
      <c r="CZ202" s="23">
        <v>0</v>
      </c>
      <c r="DA202" s="23">
        <v>0</v>
      </c>
      <c r="DB202" s="23">
        <v>0</v>
      </c>
      <c r="DC202" s="26">
        <v>0</v>
      </c>
      <c r="DD202" s="27" t="s">
        <v>377</v>
      </c>
    </row>
    <row r="203" spans="1:108" s="1" customForma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</row>
    <row r="204" spans="1:108" s="1" customForma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</row>
    <row r="205" spans="1:108" s="1" customForma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</row>
    <row r="206" spans="1:108" s="1" customForma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</row>
    <row r="207" spans="1:108" s="1" customForma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</row>
    <row r="208" spans="1:108" s="1" customForma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</row>
    <row r="209" spans="1:108" s="1" customForma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</row>
    <row r="210" spans="1:108" s="1" customForma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</row>
    <row r="211" spans="1:108" s="1" customForma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</row>
    <row r="212" spans="1:108" s="1" customForma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</row>
    <row r="213" spans="1:108" s="1" customForma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</row>
    <row r="214" spans="1:108" s="1" customForma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</row>
    <row r="215" spans="1:108" s="1" customForma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</row>
    <row r="216" spans="1:108" s="1" customForma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</row>
    <row r="217" spans="1:108" s="1" customForma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</row>
    <row r="218" spans="1:108" s="1" customForma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</row>
    <row r="219" spans="1:108" s="1" customForma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</row>
    <row r="220" spans="1:108" s="1" customForma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</row>
    <row r="221" spans="1:108" s="1" customForma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</row>
    <row r="222" spans="1:108" s="1" customForma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</row>
    <row r="223" spans="1:108" s="1" customForma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</row>
    <row r="224" spans="1:108" s="1" customForma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</row>
    <row r="225" spans="1:108" s="1" customForma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</row>
    <row r="226" spans="1:108" s="1" customForma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</row>
    <row r="227" spans="1:108" s="1" customForma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</row>
    <row r="228" spans="1:108" s="1" customForma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</row>
    <row r="229" spans="1:108" s="1" customForma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</row>
    <row r="230" spans="1:108" s="1" customForma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</row>
    <row r="231" spans="1:108" s="1" customForma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</row>
    <row r="232" spans="1:108" s="1" customForma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</row>
    <row r="233" spans="1:108" s="1" customForma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</row>
    <row r="234" spans="1:108" s="1" customForma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</row>
    <row r="235" spans="1:108" s="1" customForma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</row>
    <row r="236" spans="1:108" s="1" customForma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</row>
    <row r="237" spans="1:108" s="1" customForma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</row>
    <row r="238" spans="1:108" s="1" customForma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</row>
    <row r="239" spans="1:108" s="1" customForma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</row>
    <row r="240" spans="1:108" s="1" customForma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</row>
    <row r="241" spans="1:108" s="1" customForma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</row>
    <row r="242" spans="1:108" s="1" customForma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</row>
    <row r="243" spans="1:108" s="1" customForma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</row>
    <row r="244" spans="1:108" s="1" customForma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</row>
    <row r="245" spans="1:108" s="1" customForma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</row>
    <row r="246" spans="1:108" s="1" customForma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</row>
    <row r="247" spans="1:108" s="1" customForma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</row>
    <row r="248" spans="1:108" s="1" customForma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</row>
    <row r="249" spans="1:108" s="1" customForma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</row>
    <row r="250" spans="1:108" s="1" customForma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</row>
    <row r="251" spans="1:108" s="1" customForma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</row>
    <row r="252" spans="1:108" s="1" customForma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</row>
    <row r="253" spans="1:108" s="1" customForma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</row>
    <row r="254" spans="1:108" s="1" customForma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</row>
    <row r="255" spans="1:108" s="1" customForma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</row>
    <row r="256" spans="1:108" s="1" customForma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</row>
    <row r="257" spans="1:108" s="1" customForma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</row>
    <row r="258" spans="1:108" s="1" customForma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</row>
    <row r="259" spans="1:108" s="1" customForma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</row>
    <row r="260" spans="1:108" s="1" customForma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</row>
    <row r="261" spans="1:108" s="1" customForma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</row>
    <row r="262" spans="1:108" s="1" customForma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</row>
    <row r="263" spans="1:108" s="1" customForma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</row>
    <row r="264" spans="1:108" s="1" customForma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</row>
    <row r="265" spans="1:108" s="1" customForma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</row>
    <row r="266" spans="1:108" s="1" customForma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</row>
    <row r="267" spans="1:108" s="1" customForma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</row>
    <row r="268" spans="1:108" s="1" customForma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</row>
    <row r="269" spans="1:108" s="1" customForma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</row>
    <row r="270" spans="1:108" s="1" customForma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</row>
    <row r="271" spans="1:108" s="1" customForma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</row>
    <row r="272" spans="1:108" s="1" customForma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</row>
    <row r="273" spans="1:108" s="1" customForma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</row>
    <row r="274" spans="1:108" s="1" customForma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</row>
    <row r="275" spans="1:108" s="1" customForma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</row>
    <row r="276" spans="1:108" s="1" customForma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</row>
    <row r="277" spans="1:108" s="1" customForma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</row>
    <row r="278" spans="1:108" s="1" customForma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</row>
    <row r="279" spans="1:108" s="1" customForma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</row>
    <row r="280" spans="1:108" s="1" customForma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</row>
    <row r="281" spans="1:108" s="1" customForma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</row>
    <row r="282" spans="1:108" s="1" customForma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</row>
    <row r="283" spans="1:108" s="1" customForma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</row>
    <row r="284" spans="1:108" s="1" customForma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</row>
    <row r="285" spans="1:108" s="1" customForma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</row>
    <row r="286" spans="1:108" s="1" customForma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</row>
    <row r="287" spans="1:108" s="1" customForma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</row>
    <row r="288" spans="1:108" s="1" customForma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</row>
    <row r="289" spans="1:108" s="1" customForma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</row>
    <row r="290" spans="1:108" s="1" customForma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</row>
    <row r="291" spans="1:108" s="1" customForma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</row>
    <row r="292" spans="1:108" s="1" customForma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</row>
    <row r="293" spans="1:108" s="1" customForma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</row>
    <row r="294" spans="1:108" s="1" customForma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</row>
    <row r="295" spans="1:108" s="1" customForma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</row>
    <row r="296" spans="1:108" s="1" customForma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</row>
    <row r="297" spans="1:108" s="1" customForma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</row>
    <row r="298" spans="1:108" s="1" customForma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</row>
    <row r="299" spans="1:108" s="1" customForma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</row>
    <row r="300" spans="1:108" s="1" customForma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</row>
    <row r="301" spans="1:108" s="1" customForma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</row>
    <row r="302" spans="1:108" s="1" customForma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</row>
    <row r="303" spans="1:108" s="1" customForma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</row>
    <row r="304" spans="1:108" s="1" customForma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</row>
    <row r="305" spans="1:108" s="1" customForma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</row>
    <row r="306" spans="1:108" s="1" customForma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</row>
    <row r="307" spans="1:108" s="1" customForma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</row>
    <row r="308" spans="1:108" s="1" customForma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</row>
    <row r="309" spans="1:108" s="1" customForma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</row>
    <row r="310" spans="1:108" s="1" customForma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</row>
    <row r="311" spans="1:108" s="1" customForma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</row>
    <row r="312" spans="1:108" s="1" customForma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</row>
    <row r="313" spans="1:108" s="1" customForma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</row>
    <row r="314" spans="1:108" s="1" customForma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</row>
    <row r="315" spans="1:108" s="1" customForma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</row>
    <row r="316" spans="1:108" s="1" customForma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</row>
    <row r="317" spans="1:108" s="1" customForma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</row>
    <row r="318" spans="1:108" s="1" customForma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</row>
    <row r="319" spans="1:108" s="1" customForma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</row>
    <row r="320" spans="1:108" s="1" customForma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</row>
    <row r="321" spans="1:108" s="1" customForma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</row>
    <row r="322" spans="1:108" s="1" customForma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</row>
    <row r="323" spans="1:108" s="1" customForma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</row>
    <row r="324" spans="1:108" s="1" customForma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</row>
    <row r="325" spans="1:108" s="1" customForma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</row>
    <row r="326" spans="1:108" s="1" customForma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</row>
    <row r="327" spans="1:108" s="1" customForma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</row>
    <row r="328" spans="1:108" s="1" customForma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</row>
    <row r="329" spans="1:108" s="1" customForma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</row>
    <row r="330" spans="1:108" s="1" customForma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</row>
    <row r="331" spans="1:108" s="1" customForma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</row>
    <row r="332" spans="1:108" s="1" customForma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</row>
    <row r="333" spans="1:108" s="1" customForma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</row>
    <row r="334" spans="1:108" s="1" customForma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</row>
    <row r="335" spans="1:108" s="1" customForma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</row>
    <row r="336" spans="1:108" s="1" customForma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</row>
    <row r="337" spans="1:108" s="1" customForma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</row>
    <row r="338" spans="1:108" s="1" customForma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</row>
    <row r="339" spans="1:108" s="1" customForma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</row>
    <row r="340" spans="1:108" s="1" customForma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</row>
    <row r="341" spans="1:108" s="1" customForma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</row>
    <row r="342" spans="1:108" s="1" customForma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</row>
    <row r="343" spans="1:108" s="1" customForma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</row>
    <row r="344" spans="1:108" s="1" customForma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</row>
    <row r="345" spans="1:108" s="1" customForma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</row>
    <row r="346" spans="1:108" s="1" customForma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</row>
    <row r="347" spans="1:108" s="1" customForma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</row>
    <row r="348" spans="1:108" s="1" customForma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</row>
    <row r="349" spans="1:108" s="1" customForma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</row>
    <row r="350" spans="1:108" s="1" customForma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</row>
    <row r="351" spans="1:108" s="1" customForma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</row>
    <row r="352" spans="1:108" s="1" customForma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</row>
    <row r="353" spans="1:108" s="1" customForma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</row>
    <row r="354" spans="1:108" s="1" customForma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</row>
    <row r="355" spans="1:108" s="1" customForma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</row>
    <row r="356" spans="1:108" s="1" customForma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</row>
    <row r="357" spans="1:108" s="1" customForma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</row>
    <row r="358" spans="1:108" s="1" customForma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</row>
    <row r="359" spans="1:108" s="1" customForma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</row>
    <row r="360" spans="1:108" s="1" customForma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</row>
    <row r="361" spans="1:108" s="1" customForma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</row>
    <row r="362" spans="1:108" s="1" customForma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</row>
    <row r="363" spans="1:108" s="1" customForma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</row>
    <row r="364" spans="1:108" s="1" customForma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</row>
    <row r="365" spans="1:108" s="1" customForma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</row>
    <row r="366" spans="1:108" s="1" customForma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</row>
    <row r="367" spans="1:108" s="1" customForma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</row>
    <row r="368" spans="1:108" s="1" customForma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</row>
    <row r="369" spans="1:108" s="1" customForma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</row>
    <row r="370" spans="1:108" s="1" customForma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</row>
    <row r="371" spans="1:108" s="1" customForma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</row>
    <row r="372" spans="1:108" s="1" customForma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</row>
    <row r="373" spans="1:108" s="1" customForma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</row>
    <row r="374" spans="1:108" s="1" customForma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</row>
    <row r="375" spans="1:108" s="1" customForma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</row>
    <row r="376" spans="1:108" s="1" customForma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</row>
    <row r="377" spans="1:108" s="1" customForma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</row>
    <row r="378" spans="1:108" s="1" customForma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</row>
    <row r="379" spans="1:108" s="1" customForma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</row>
    <row r="380" spans="1:108" s="1" customForma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</row>
    <row r="381" spans="1:108" s="1" customForma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</row>
    <row r="382" spans="1:108" s="1" customForma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</row>
    <row r="383" spans="1:108" s="1" customForma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</row>
    <row r="384" spans="1:108" s="1" customForma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</row>
    <row r="385" spans="1:108" s="1" customForma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</row>
    <row r="386" spans="1:108" s="1" customForma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</row>
    <row r="387" spans="1:108" s="1" customForma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</row>
    <row r="388" spans="1:108" s="1" customForma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</row>
    <row r="389" spans="1:108" s="1" customForma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</row>
    <row r="390" spans="1:108" s="1" customForma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</row>
    <row r="391" spans="1:108" s="1" customForma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</row>
    <row r="392" spans="1:108" s="1" customForma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</row>
    <row r="393" spans="1:108" s="1" customForma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</row>
    <row r="394" spans="1:108" s="1" customForma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</row>
    <row r="395" spans="1:108" s="1" customForma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</row>
    <row r="396" spans="1:108" s="1" customForma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</row>
    <row r="397" spans="1:108" s="1" customForma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</row>
    <row r="398" spans="1:108" s="1" customForma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</row>
    <row r="399" spans="1:108" s="1" customForma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</row>
    <row r="400" spans="1:108" s="1" customForma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</row>
    <row r="401" spans="1:108" s="1" customForma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</row>
    <row r="402" spans="1:108" s="1" customForma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</row>
    <row r="403" spans="1:108" s="1" customForma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</row>
    <row r="404" spans="1:108" s="1" customForma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</row>
    <row r="405" spans="1:108" s="1" customForma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</row>
    <row r="406" spans="1:108" s="1" customForma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</row>
    <row r="407" spans="1:108" s="1" customForma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</row>
    <row r="408" spans="1:108" s="1" customForma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</row>
    <row r="409" spans="1:108" s="1" customForma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</row>
    <row r="410" spans="1:108" s="1" customForma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</row>
    <row r="411" spans="1:108" s="1" customForma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</row>
    <row r="412" spans="1:108" s="1" customForma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</row>
    <row r="413" spans="1:108" s="1" customForma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</row>
    <row r="414" spans="1:108" s="1" customForma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</row>
    <row r="415" spans="1:108" s="1" customForma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</row>
    <row r="416" spans="1:108" s="1" customForma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</row>
    <row r="417" spans="1:108" s="1" customForma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</row>
    <row r="418" spans="1:108" s="1" customForma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</row>
    <row r="419" spans="1:108" s="1" customForma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</row>
    <row r="420" spans="1:108" s="1" customForma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</row>
    <row r="421" spans="1:108" s="1" customForma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</row>
    <row r="422" spans="1:108" s="1" customForma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</row>
    <row r="423" spans="1:108" s="1" customForma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</row>
    <row r="424" spans="1:108" s="1" customForma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</row>
    <row r="425" spans="1:108" s="1" customForma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</row>
    <row r="426" spans="1:108" s="1" customForma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</row>
    <row r="427" spans="1:108" s="1" customForma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</row>
    <row r="428" spans="1:108" s="1" customForma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</row>
    <row r="429" spans="1:108" s="1" customForma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</row>
    <row r="430" spans="1:108" s="1" customForma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</row>
    <row r="431" spans="1:108" s="1" customForma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</row>
    <row r="432" spans="1:108" s="1" customForma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</row>
    <row r="433" spans="1:108" s="1" customForma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</row>
    <row r="434" spans="1:108" s="1" customForma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</row>
    <row r="435" spans="1:108" s="1" customForma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</row>
    <row r="436" spans="1:108" s="1" customForma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</row>
    <row r="437" spans="1:108" s="1" customForma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</row>
    <row r="438" spans="1:108" s="1" customForma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</row>
    <row r="439" spans="1:108" s="1" customForma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</row>
    <row r="440" spans="1:108" s="1" customForma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</row>
    <row r="441" spans="1:108" s="1" customForma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</row>
    <row r="442" spans="1:108" s="1" customForma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</row>
    <row r="443" spans="1:108" s="1" customForma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</row>
    <row r="444" spans="1:108" s="1" customForma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</row>
    <row r="445" spans="1:108" s="1" customForma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</row>
    <row r="446" spans="1:108" s="1" customForma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</row>
    <row r="447" spans="1:108" s="1" customForma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</row>
    <row r="448" spans="1:108" s="1" customForma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</row>
    <row r="449" spans="1:108" s="1" customForma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</row>
    <row r="450" spans="1:108" s="1" customForma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</row>
    <row r="451" spans="1:108" s="1" customForma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</row>
    <row r="452" spans="1:108" s="1" customForma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</row>
    <row r="453" spans="1:108" s="1" customForma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</row>
    <row r="454" spans="1:108" s="1" customForma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</row>
    <row r="455" spans="1:108" s="1" customForma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</row>
    <row r="456" spans="1:108" s="1" customForma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</row>
    <row r="457" spans="1:108" s="1" customForma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</row>
    <row r="458" spans="1:108" s="1" customForma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</row>
    <row r="459" spans="1:108" s="1" customForma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</row>
    <row r="460" spans="1:108" s="1" customForma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</row>
    <row r="461" spans="1:108" s="1" customForma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</row>
    <row r="462" spans="1:108" s="1" customForma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</row>
    <row r="463" spans="1:108" s="1" customForma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</row>
    <row r="464" spans="1:108" s="1" customForma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</row>
    <row r="465" spans="1:108" s="1" customForma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</row>
    <row r="466" spans="1:108" s="1" customForma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</row>
    <row r="467" spans="1:108" s="1" customForma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</row>
    <row r="468" spans="1:108" s="1" customForma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</row>
    <row r="469" spans="1:108" s="1" customForma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</row>
    <row r="470" spans="1:108" s="1" customForma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</row>
    <row r="471" spans="1:108" s="1" customForma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</row>
    <row r="472" spans="1:108" s="1" customForma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</row>
    <row r="473" spans="1:108" s="1" customForma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</row>
    <row r="474" spans="1:108" s="1" customForma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</row>
    <row r="475" spans="1:108" s="1" customForma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</row>
    <row r="476" spans="1:108" s="1" customForma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</row>
    <row r="477" spans="1:108" s="1" customForma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</row>
    <row r="478" spans="1:108" s="1" customForma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</row>
    <row r="479" spans="1:108" s="1" customForma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</row>
    <row r="480" spans="1:108" s="1" customForma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</row>
    <row r="481" spans="1:108" s="1" customForma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</row>
    <row r="482" spans="1:108" s="1" customForma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</row>
    <row r="483" spans="1:108" s="1" customForma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</row>
    <row r="484" spans="1:108" s="1" customForma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</row>
    <row r="485" spans="1:108" s="1" customForma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</row>
    <row r="486" spans="1:108" s="1" customForma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</row>
    <row r="487" spans="1:108" s="1" customForma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</row>
    <row r="488" spans="1:108" s="1" customForma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</row>
    <row r="489" spans="1:108" s="1" customForma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</row>
    <row r="490" spans="1:108" s="1" customForma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</row>
    <row r="491" spans="1:108" s="1" customForma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</row>
    <row r="492" spans="1:108" s="1" customForma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</row>
    <row r="493" spans="1:108" s="1" customForma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</row>
    <row r="494" spans="1:108" s="1" customForma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</row>
    <row r="495" spans="1:108" s="1" customForma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</row>
    <row r="496" spans="1:108" s="1" customForma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</row>
    <row r="497" spans="1:108" s="1" customForma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</row>
    <row r="498" spans="1:108" s="1" customForma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</row>
    <row r="499" spans="1:108" s="1" customForma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</row>
    <row r="500" spans="1:108" s="1" customForma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</row>
    <row r="501" spans="1:108" s="1" customForma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</row>
    <row r="502" spans="1:108" s="1" customForma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</row>
    <row r="503" spans="1:108" s="1" customForma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</row>
    <row r="504" spans="1:108" s="1" customForma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</row>
    <row r="505" spans="1:108" s="1" customForma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</row>
    <row r="506" spans="1:108" s="1" customForma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</row>
    <row r="507" spans="1:108" s="1" customForma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</row>
    <row r="508" spans="1:108" s="1" customForma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</row>
    <row r="509" spans="1:108" s="1" customForma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</row>
    <row r="510" spans="1:108" s="1" customForma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</row>
    <row r="511" spans="1:108" s="1" customForma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</row>
    <row r="512" spans="1:108" s="1" customForma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</row>
    <row r="513" spans="1:108" s="1" customForma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</row>
    <row r="514" spans="1:108" s="1" customForma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</row>
    <row r="515" spans="1:108" s="1" customForma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</row>
    <row r="516" spans="1:108" s="1" customForma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</row>
    <row r="517" spans="1:108" s="1" customForma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</row>
    <row r="518" spans="1:108" s="1" customForma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</row>
    <row r="519" spans="1:108" s="1" customForma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</row>
    <row r="520" spans="1:108" s="1" customForma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</row>
    <row r="521" spans="1:108" s="1" customForma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</row>
    <row r="522" spans="1:108" s="1" customForma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</row>
    <row r="523" spans="1:108" s="1" customForma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</row>
    <row r="524" spans="1:108" s="1" customForma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</row>
    <row r="525" spans="1:108" s="1" customForma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</row>
    <row r="526" spans="1:108" s="1" customForma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</row>
    <row r="527" spans="1:108" s="1" customForma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</row>
    <row r="528" spans="1:108" s="1" customForma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</row>
    <row r="529" spans="1:108" s="1" customForma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</row>
    <row r="530" spans="1:108" s="1" customForma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</row>
    <row r="531" spans="1:108" s="1" customForma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</row>
    <row r="532" spans="1:108" s="1" customForma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</row>
    <row r="533" spans="1:108" s="1" customForma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</row>
    <row r="534" spans="1:108" s="1" customForma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</row>
    <row r="535" spans="1:108" s="1" customForma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</row>
    <row r="536" spans="1:108" s="1" customForma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</row>
    <row r="537" spans="1:108" s="1" customForma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</row>
    <row r="538" spans="1:108" s="1" customForma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</row>
    <row r="539" spans="1:108" s="1" customForma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</row>
    <row r="540" spans="1:108" s="1" customForma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</row>
    <row r="541" spans="1:108" s="1" customForma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</row>
    <row r="542" spans="1:108" s="1" customForma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</row>
    <row r="543" spans="1:108" s="1" customForma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</row>
    <row r="544" spans="1:108" s="1" customForma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</row>
    <row r="545" spans="1:108" s="1" customForma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</row>
    <row r="546" spans="1:108" s="1" customForma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</row>
    <row r="547" spans="1:108" s="1" customForma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</row>
    <row r="548" spans="1:108" s="1" customForma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</row>
    <row r="549" spans="1:108" s="1" customForma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</row>
    <row r="550" spans="1:108" s="1" customForma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</row>
    <row r="551" spans="1:108" s="1" customForma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</row>
    <row r="552" spans="1:108" s="1" customForma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</row>
    <row r="553" spans="1:108" s="1" customForma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</row>
    <row r="554" spans="1:108" s="1" customForma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</row>
    <row r="555" spans="1:108" s="1" customForma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</row>
    <row r="556" spans="1:108" s="1" customForma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</row>
    <row r="557" spans="1:108" s="1" customForma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</row>
    <row r="558" spans="1:108" s="1" customForma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</row>
    <row r="559" spans="1:108" s="1" customForma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</row>
    <row r="560" spans="1:108" s="1" customForma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</row>
    <row r="561" spans="1:108" s="1" customForma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</row>
    <row r="562" spans="1:108" s="1" customForma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</row>
    <row r="563" spans="1:108" s="1" customForma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</row>
    <row r="564" spans="1:108" s="1" customForma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</row>
    <row r="565" spans="1:108" s="1" customForma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</row>
    <row r="566" spans="1:108" s="1" customForma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</row>
    <row r="567" spans="1:108" s="1" customForma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</row>
    <row r="568" spans="1:108" s="1" customForma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</row>
    <row r="569" spans="1:108" s="1" customForma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</row>
    <row r="570" spans="1:108" s="1" customForma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</row>
    <row r="571" spans="1:108" s="1" customForma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</row>
    <row r="572" spans="1:108" s="1" customForma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</row>
    <row r="573" spans="1:108" s="1" customForma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</row>
    <row r="574" spans="1:108" s="1" customForma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</row>
    <row r="575" spans="1:108" s="1" customForma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</row>
    <row r="576" spans="1:108" s="1" customForma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</row>
    <row r="577" spans="1:108" s="1" customForma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</row>
    <row r="578" spans="1:108" s="1" customForma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</row>
    <row r="579" spans="1:108" s="1" customForma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</row>
    <row r="580" spans="1:108" s="1" customForma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</row>
    <row r="581" spans="1:108" s="1" customForma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</row>
    <row r="582" spans="1:108" s="1" customForma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</row>
    <row r="583" spans="1:108" s="1" customForma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</row>
    <row r="584" spans="1:108" s="1" customForma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</row>
    <row r="585" spans="1:108" s="1" customForma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</row>
    <row r="586" spans="1:108" s="1" customForma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</row>
    <row r="587" spans="1:108" s="1" customForma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</row>
    <row r="588" spans="1:108" s="1" customForma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</row>
    <row r="589" spans="1:108" s="1" customForma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</row>
    <row r="590" spans="1:108" s="1" customForma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</row>
    <row r="591" spans="1:108" s="1" customForma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</row>
    <row r="592" spans="1:108" s="1" customForma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</row>
    <row r="593" spans="1:108" s="1" customForma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</row>
    <row r="594" spans="1:108" s="1" customForma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</row>
    <row r="595" spans="1:108" s="1" customForma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</row>
    <row r="596" spans="1:108" s="1" customForma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</row>
    <row r="597" spans="1:108" s="1" customForma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</row>
    <row r="598" spans="1:108" s="1" customForma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</row>
    <row r="599" spans="1:108" s="1" customForma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</row>
    <row r="600" spans="1:108" s="1" customForma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</row>
    <row r="601" spans="1:108" s="1" customForma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</row>
    <row r="602" spans="1:108" s="1" customForma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</row>
    <row r="603" spans="1:108" s="1" customForma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</row>
    <row r="604" spans="1:108" s="1" customForma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</row>
    <row r="605" spans="1:108" s="1" customForma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</row>
    <row r="606" spans="1:108" s="1" customForma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</row>
    <row r="607" spans="1:108" s="1" customForma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</row>
    <row r="608" spans="1:108" s="1" customForma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</row>
    <row r="609" spans="1:108" s="1" customForma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</row>
    <row r="610" spans="1:108" s="1" customForma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</row>
    <row r="611" spans="1:108" s="1" customForma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</row>
    <row r="612" spans="1:108" s="1" customForma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</row>
    <row r="613" spans="1:108" s="1" customForma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</row>
    <row r="614" spans="1:108" s="1" customForma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</row>
    <row r="615" spans="1:108" s="1" customForma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</row>
    <row r="616" spans="1:108" s="1" customForma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</row>
    <row r="617" spans="1:108" s="1" customForma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</row>
    <row r="618" spans="1:108" s="1" customForma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</row>
    <row r="619" spans="1:108" s="1" customForma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</row>
    <row r="620" spans="1:108" s="1" customForma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</row>
    <row r="621" spans="1:108" s="1" customForma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</row>
    <row r="622" spans="1:108" s="1" customForma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</row>
    <row r="623" spans="1:108" s="1" customForma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</row>
    <row r="624" spans="1:108" s="1" customForma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</row>
    <row r="625" spans="1:108" s="1" customForma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</row>
    <row r="626" spans="1:108" s="1" customForma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</row>
    <row r="627" spans="1:108" s="1" customForma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</row>
    <row r="628" spans="1:108" s="1" customForma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</row>
    <row r="629" spans="1:108" s="1" customForma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</row>
    <row r="630" spans="1:108" s="1" customForma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</row>
    <row r="631" spans="1:108" s="1" customForma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</row>
    <row r="632" spans="1:108" s="1" customForma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</row>
    <row r="633" spans="1:108" s="1" customForma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</row>
    <row r="634" spans="1:108" s="1" customForma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</row>
    <row r="635" spans="1:108" s="1" customForma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</row>
    <row r="636" spans="1:108" s="1" customForma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</row>
    <row r="637" spans="1:108" s="1" customForma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</row>
    <row r="638" spans="1:108" s="1" customForma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</row>
    <row r="639" spans="1:108" s="1" customForma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</row>
    <row r="640" spans="1:108" s="1" customForma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</row>
    <row r="641" spans="1:108" s="1" customForma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</row>
    <row r="642" spans="1:108" s="1" customForma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</row>
    <row r="643" spans="1:108" s="1" customForma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</row>
    <row r="644" spans="1:108" s="1" customForma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</row>
    <row r="645" spans="1:108" s="1" customForma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</row>
    <row r="646" spans="1:108" s="1" customForma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</row>
    <row r="647" spans="1:108" s="1" customForma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</row>
    <row r="648" spans="1:108" s="1" customForma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</row>
    <row r="649" spans="1:108" s="1" customForma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</row>
    <row r="650" spans="1:108" s="1" customForma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</row>
    <row r="651" spans="1:108" s="1" customForma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</row>
    <row r="652" spans="1:108" s="1" customForma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</row>
    <row r="653" spans="1:108" s="1" customForma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</row>
    <row r="654" spans="1:108" s="1" customForma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</row>
    <row r="655" spans="1:108" s="1" customForma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</row>
    <row r="656" spans="1:108" s="1" customForma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</row>
    <row r="657" spans="1:108" s="1" customForma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</row>
    <row r="658" spans="1:108" s="1" customForma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</row>
    <row r="659" spans="1:108" s="1" customForma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</row>
    <row r="660" spans="1:108" s="1" customForma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</row>
    <row r="661" spans="1:108" s="1" customForma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</row>
    <row r="662" spans="1:108" s="1" customForma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</row>
    <row r="663" spans="1:108" s="1" customForma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</row>
    <row r="664" spans="1:108" s="1" customForma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</row>
    <row r="665" spans="1:108" s="1" customForma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</row>
    <row r="666" spans="1:108" s="1" customForma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</row>
    <row r="667" spans="1:108" s="1" customForma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</row>
    <row r="668" spans="1:108" s="1" customForma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</row>
    <row r="669" spans="1:108" s="1" customForma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</row>
    <row r="670" spans="1:108" s="1" customForma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</row>
    <row r="671" spans="1:108" s="1" customForma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</row>
    <row r="672" spans="1:108" s="1" customForma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</row>
    <row r="673" spans="1:108" s="1" customForma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</row>
    <row r="674" spans="1:108" s="1" customForma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</row>
    <row r="675" spans="1:108" s="1" customForma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</row>
    <row r="676" spans="1:108" s="1" customForma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</row>
    <row r="677" spans="1:108" s="1" customForma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</row>
    <row r="678" spans="1:108" s="1" customForma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</row>
    <row r="679" spans="1:108" s="1" customForma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</row>
    <row r="680" spans="1:108" s="1" customForma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</row>
    <row r="681" spans="1:108" s="1" customForma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</row>
    <row r="682" spans="1:108" s="1" customForma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</row>
    <row r="683" spans="1:108" s="1" customForma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</row>
    <row r="684" spans="1:108" s="1" customForma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</row>
    <row r="685" spans="1:108" s="1" customForma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</row>
    <row r="686" spans="1:108" s="1" customForma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</row>
    <row r="687" spans="1:108" s="1" customForma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</row>
    <row r="688" spans="1:108" s="1" customForma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</row>
    <row r="689" spans="1:108" s="1" customForma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</row>
    <row r="690" spans="1:108" s="1" customForma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</row>
    <row r="691" spans="1:108" s="1" customForma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</row>
    <row r="692" spans="1:108" s="1" customForma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</row>
    <row r="693" spans="1:108" s="1" customForma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</row>
    <row r="694" spans="1:108" s="1" customForma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</row>
    <row r="695" spans="1:108" s="1" customForma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</row>
    <row r="696" spans="1:108" s="1" customForma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</row>
    <row r="697" spans="1:108" s="1" customForma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</row>
    <row r="698" spans="1:108" s="1" customForma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</row>
    <row r="699" spans="1:108" s="1" customForma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</row>
    <row r="700" spans="1:108" s="1" customForma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</row>
    <row r="701" spans="1:108" s="1" customForma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</row>
    <row r="702" spans="1:108" s="1" customForma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</row>
    <row r="703" spans="1:108" s="1" customForma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</row>
    <row r="704" spans="1:108" s="1" customForma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</row>
    <row r="705" spans="1:108" s="1" customForma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</row>
    <row r="706" spans="1:108" s="1" customForma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</row>
    <row r="707" spans="1:108" s="1" customForma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</row>
    <row r="708" spans="1:108" s="1" customForma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</row>
    <row r="709" spans="1:108" s="1" customForma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</row>
    <row r="710" spans="1:108" s="1" customForma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</row>
    <row r="711" spans="1:108" s="1" customForma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</row>
    <row r="712" spans="1:108" s="1" customForma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</row>
    <row r="713" spans="1:108" s="1" customForma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</row>
    <row r="714" spans="1:108" s="1" customForma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</row>
    <row r="715" spans="1:108" s="1" customForma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</row>
    <row r="716" spans="1:108" s="1" customForma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</row>
    <row r="717" spans="1:108" s="1" customForma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</row>
    <row r="718" spans="1:108" s="1" customForma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</row>
    <row r="719" spans="1:108" s="1" customForma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</row>
    <row r="720" spans="1:108" s="1" customForma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</row>
    <row r="721" spans="1:108" s="1" customForma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</row>
    <row r="722" spans="1:108" s="1" customForma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</row>
    <row r="723" spans="1:108" s="1" customForma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</row>
    <row r="724" spans="1:108" s="1" customForma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</row>
    <row r="725" spans="1:108" s="1" customForma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</row>
    <row r="726" spans="1:108" s="1" customForma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</row>
    <row r="727" spans="1:108" s="1" customForma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</row>
    <row r="728" spans="1:108" s="1" customForma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</row>
    <row r="729" spans="1:108" s="1" customForma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</row>
    <row r="730" spans="1:108" s="1" customForma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</row>
    <row r="731" spans="1:108" s="1" customForma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</row>
    <row r="732" spans="1:108" s="1" customForma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</row>
    <row r="733" spans="1:108" s="1" customForma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</row>
    <row r="734" spans="1:108" s="1" customForma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</row>
  </sheetData>
  <mergeCells count="8">
    <mergeCell ref="A2:G2"/>
    <mergeCell ref="M2:S2"/>
    <mergeCell ref="A1:BL1"/>
    <mergeCell ref="DD2:DD3"/>
    <mergeCell ref="T2:AL2"/>
    <mergeCell ref="AM2:BY2"/>
    <mergeCell ref="BZ2:DC2"/>
    <mergeCell ref="H2:L2"/>
  </mergeCells>
  <hyperlinks>
    <hyperlink ref="DD102" r:id="rId1" xr:uid="{C0AD8088-EDC2-4262-843D-B0ADCC6DB218}"/>
    <hyperlink ref="DD103" r:id="rId2" xr:uid="{65626AED-2D21-4403-A913-1A3A4DF0CD71}"/>
    <hyperlink ref="DD104" r:id="rId3" xr:uid="{4668CC85-2C1E-4E52-BB21-12FA0F9E4F6D}"/>
    <hyperlink ref="DD105" r:id="rId4" xr:uid="{B7254942-3F17-41A0-A9DA-5EDC0EBD1653}"/>
    <hyperlink ref="DD106" r:id="rId5" xr:uid="{394C4CD5-6565-443A-BBC3-9BE846F66DA0}"/>
    <hyperlink ref="DD107" r:id="rId6" tooltip="DOI URL" xr:uid="{2F651315-EF26-401A-BF7A-0EE2BFB125FF}"/>
    <hyperlink ref="DD108" r:id="rId7" xr:uid="{FFEA6E5D-0339-4C36-9C8B-D4E041ACF5EC}"/>
    <hyperlink ref="DD109" r:id="rId8" xr:uid="{1E2B5470-2DCC-47ED-B071-CF20F9BD004B}"/>
    <hyperlink ref="DD110" r:id="rId9" xr:uid="{24A7BD36-74DE-45D2-8009-331C550920D5}"/>
    <hyperlink ref="DD111" r:id="rId10" xr:uid="{30ED1034-2590-4F45-9287-C2E40EA05298}"/>
    <hyperlink ref="DD112" r:id="rId11" xr:uid="{FF8B492A-0690-49D9-839E-7B0E8AFECB71}"/>
    <hyperlink ref="DD113" r:id="rId12" xr:uid="{39991F15-64BD-43B3-BBB8-87F2E5F9B747}"/>
    <hyperlink ref="DD114" r:id="rId13" xr:uid="{B637034B-ED16-47F4-8BFC-EA728FAB77ED}"/>
    <hyperlink ref="DD115" r:id="rId14" xr:uid="{9BB01B3F-81EF-45B1-9FA3-4B6B68ED293A}"/>
    <hyperlink ref="DD116" r:id="rId15" tooltip="Persistent link using digital object identifier" xr:uid="{8140DBC6-3D73-4746-B6EC-FB450F991477}"/>
    <hyperlink ref="DD118" r:id="rId16" xr:uid="{4C7DADD7-3E3E-4747-891D-691AD98C3674}"/>
    <hyperlink ref="DD120" r:id="rId17" xr:uid="{A37612B4-C803-4CFF-B465-386B7960F32E}"/>
    <hyperlink ref="DD121" r:id="rId18" xr:uid="{AA6FE740-85BF-4E8E-951C-4A01C6CEBDE6}"/>
    <hyperlink ref="DD122" r:id="rId19" xr:uid="{92A73A48-5A76-4FF9-BC70-C5C4C7382F40}"/>
    <hyperlink ref="DD123" r:id="rId20" xr:uid="{421585E2-FA9E-4009-9E2D-865E3169D22D}"/>
    <hyperlink ref="DD124" r:id="rId21" xr:uid="{6095CCC8-7AD7-4BC6-8FAD-1A7C4821359B}"/>
    <hyperlink ref="DD125" r:id="rId22" xr:uid="{E9576D25-CA96-402F-9140-6FE460A05BB8}"/>
    <hyperlink ref="DD126" r:id="rId23" xr:uid="{D27002A5-676E-4072-AEB0-29070CD35B8B}"/>
    <hyperlink ref="DD127" r:id="rId24" xr:uid="{09049097-B953-4FE6-B890-E856C2529D1B}"/>
    <hyperlink ref="DD128" r:id="rId25" xr:uid="{0B0F7C19-27B6-4F3D-9500-D58263B34805}"/>
    <hyperlink ref="DD129" r:id="rId26" xr:uid="{E5ECA165-1734-4D05-B20B-8546C3C344AA}"/>
    <hyperlink ref="DD130" r:id="rId27" xr:uid="{04CBB80F-9C66-433D-B0FE-B056B6BD32BF}"/>
    <hyperlink ref="DD131" r:id="rId28" xr:uid="{8CBDAD33-975A-4000-8226-25F02593E0D3}"/>
    <hyperlink ref="DD132" r:id="rId29" xr:uid="{63F2CE4C-E98B-479C-B0B0-7746BE2C9C1A}"/>
    <hyperlink ref="DD133" r:id="rId30" xr:uid="{9CB1B6A0-22D2-450C-8698-FB72A4977AB4}"/>
    <hyperlink ref="DD134" r:id="rId31" xr:uid="{98B2CF09-1C02-4BC0-A581-C804819A0CDA}"/>
    <hyperlink ref="DD135" r:id="rId32" xr:uid="{8E540649-1BF7-4497-883A-F1163A70BB19}"/>
    <hyperlink ref="DD136" r:id="rId33" xr:uid="{CC59D9F6-FBF5-4541-A092-9175DEAC092D}"/>
    <hyperlink ref="DD137" r:id="rId34" xr:uid="{81EA9C41-D32D-4E3B-8BD8-B1D94D73A7F5}"/>
    <hyperlink ref="DD138" r:id="rId35" xr:uid="{CB3B7ABB-5C83-4293-B071-86D0BEB7A767}"/>
    <hyperlink ref="DD139" r:id="rId36" xr:uid="{952A82FE-DFE8-4068-A7EC-BDA594205214}"/>
    <hyperlink ref="DD140" r:id="rId37" xr:uid="{FF7466FA-06CE-4718-8AC6-AB4F6A190338}"/>
    <hyperlink ref="DD141" r:id="rId38" xr:uid="{FA9B208E-0668-451A-A1F3-2A161FE01638}"/>
    <hyperlink ref="DD143" r:id="rId39" xr:uid="{C0CCB845-2843-4496-9122-0CFFB1918A23}"/>
    <hyperlink ref="DD142" r:id="rId40" xr:uid="{D7BF497F-660C-4757-9815-629D1FD523E3}"/>
    <hyperlink ref="DD144" r:id="rId41" tooltip="DOI URL" xr:uid="{5665B75D-B2E9-425D-A7FE-76E2C7E92A9D}"/>
    <hyperlink ref="DD145" r:id="rId42" xr:uid="{B58A6C7D-0684-44D6-BFB6-EC5E2CA6C3C6}"/>
    <hyperlink ref="DD146" r:id="rId43" xr:uid="{376B27AD-B7E1-4270-B8F0-D2AC0BB807C2}"/>
    <hyperlink ref="DD147" r:id="rId44" xr:uid="{476F5397-0D4A-405F-8622-123DA4560D8C}"/>
    <hyperlink ref="DD149" r:id="rId45" tooltip="Persistent link using digital object identifier" xr:uid="{B2A50EE5-17ED-4956-8A4D-656FBBFFA3A9}"/>
    <hyperlink ref="DD148" r:id="rId46" xr:uid="{5D2DF806-67C5-49DC-B1BB-8A70DC0D0561}"/>
    <hyperlink ref="DD150" r:id="rId47" xr:uid="{A5C8D411-3EC3-4D63-B1F3-1CDAF3C06AF7}"/>
    <hyperlink ref="DD151" r:id="rId48" xr:uid="{5DEC31CE-AC91-41DB-B29D-5F52FF35406C}"/>
    <hyperlink ref="DD153" r:id="rId49" xr:uid="{37D5DAF2-8779-4099-8E69-5EE198C8AED0}"/>
    <hyperlink ref="DD154" r:id="rId50" xr:uid="{024A676D-41D1-4C60-AE2F-1D491F53B206}"/>
    <hyperlink ref="DD155" r:id="rId51" xr:uid="{B7A00FEE-354B-418F-B327-0693FAA6BA2D}"/>
    <hyperlink ref="DD156" r:id="rId52" xr:uid="{EC6FBF92-6113-4176-9452-F1D177A00425}"/>
    <hyperlink ref="DD157" r:id="rId53" xr:uid="{E72FBF90-4A35-4274-954C-E68FA1150EFA}"/>
    <hyperlink ref="DD158" r:id="rId54" xr:uid="{63F7E76E-4A0C-49A2-8901-01E823E7F4CF}"/>
    <hyperlink ref="DD159" r:id="rId55" xr:uid="{82A5EA59-3457-4043-B889-3CD49E4D1E26}"/>
    <hyperlink ref="DD160:DD161" r:id="rId56" display="https://doi.org/10.1038/s41598-022-14704-x" xr:uid="{74EA2F5B-8A5B-4F1A-B626-0B85E5FA9D61}"/>
    <hyperlink ref="DD162" r:id="rId57" xr:uid="{01EFC511-D994-4458-AAEB-C07362EFD777}"/>
    <hyperlink ref="DD163" r:id="rId58" xr:uid="{E80A5AC3-2B74-43B2-9C27-62CE053E20F0}"/>
    <hyperlink ref="DD164" r:id="rId59" xr:uid="{5C32F481-78AD-4D42-B217-61D3087A3B5F}"/>
    <hyperlink ref="DD165" r:id="rId60" xr:uid="{0214A4F3-1F8E-4D45-AF8A-F18EB44BCF1A}"/>
    <hyperlink ref="DD166" r:id="rId61" xr:uid="{D1B01E25-FD73-47BB-9018-DD7B3255725C}"/>
    <hyperlink ref="DD167" r:id="rId62" xr:uid="{01EEC255-6EFB-4144-A65C-62110399999D}"/>
    <hyperlink ref="DD168" r:id="rId63" xr:uid="{AAE68954-952F-4CCB-92DC-2606EB7D2EEF}"/>
    <hyperlink ref="DD169" r:id="rId64" xr:uid="{B5492A32-B3AD-4A0B-8165-5E7C8298A757}"/>
    <hyperlink ref="DD170" r:id="rId65" xr:uid="{2DD2F31A-EC78-4498-92FF-637D1126CAD3}"/>
    <hyperlink ref="DD171" r:id="rId66" xr:uid="{1EEF5EBE-1D16-4A82-8E92-9CDF9A05E74E}"/>
    <hyperlink ref="DD172" r:id="rId67" xr:uid="{8BA185D1-597C-4280-807C-6BF2AD874F91}"/>
    <hyperlink ref="DD173" r:id="rId68" xr:uid="{327A6D8E-1D00-405A-A636-70A8D3448513}"/>
    <hyperlink ref="DD174" r:id="rId69" xr:uid="{E01C75AB-50AC-487D-8389-3E049FAFED37}"/>
    <hyperlink ref="DD175" r:id="rId70" xr:uid="{411E7049-FF6F-463E-8221-12EFACC05667}"/>
    <hyperlink ref="DD176" r:id="rId71" xr:uid="{52202B7B-5E54-4D25-B82D-234830028F28}"/>
    <hyperlink ref="DD177" r:id="rId72" xr:uid="{C8E6BD84-37F7-4B2E-9F1A-CBD065258D56}"/>
    <hyperlink ref="DD178" r:id="rId73" xr:uid="{CC485B40-FA70-4C6B-AA91-38E980A92062}"/>
    <hyperlink ref="DD179" r:id="rId74" xr:uid="{5BF2E3AF-F969-46A8-9C86-D12625E2E98A}"/>
    <hyperlink ref="DD180" r:id="rId75" xr:uid="{E5A9F2F1-303B-45CA-9936-0437A71220A9}"/>
    <hyperlink ref="DD181" r:id="rId76" xr:uid="{D8D5B45C-1C67-4E5D-BB4C-ED4FFEE0E306}"/>
    <hyperlink ref="DD182" r:id="rId77" xr:uid="{2B613DFC-4220-4240-8841-6B3114161D1A}"/>
    <hyperlink ref="DD183" r:id="rId78" xr:uid="{045B70F3-A2E0-4E7C-8867-1A8A030C2F5B}"/>
    <hyperlink ref="DD184" r:id="rId79" xr:uid="{7400190D-9E63-401C-8F10-05945CE3FF9A}"/>
    <hyperlink ref="DD185" r:id="rId80" xr:uid="{99E7D2DB-93FD-42F8-9D79-8A77C8D4677A}"/>
    <hyperlink ref="DD186" r:id="rId81" xr:uid="{44118BA6-2F8A-4773-AD18-1433D15E2776}"/>
    <hyperlink ref="DD187" r:id="rId82" xr:uid="{A3ED77F5-BEB6-48C4-B1BB-21CE98E2F548}"/>
    <hyperlink ref="DD188" r:id="rId83" xr:uid="{75B928E8-C675-40F2-98E7-EA2B6494B4E3}"/>
    <hyperlink ref="DD189" r:id="rId84" xr:uid="{207C56F5-C16F-4A3C-AEC6-CEC263CC334B}"/>
    <hyperlink ref="DD190" r:id="rId85" xr:uid="{19B909AD-ECFF-40D1-9456-4BCCD41584BB}"/>
    <hyperlink ref="DD191" r:id="rId86" xr:uid="{9E90C9D7-63D0-45B9-A1CB-8D1C99B5CC76}"/>
    <hyperlink ref="DD192" r:id="rId87" xr:uid="{117C05D5-A9E0-4BEA-BD31-3912A2C8DA72}"/>
    <hyperlink ref="DD193" r:id="rId88" xr:uid="{3A1BC92C-0CF0-4BE0-B108-02B956893D2B}"/>
    <hyperlink ref="DD194" r:id="rId89" xr:uid="{4675C764-A26E-4040-ADCF-501609F1019F}"/>
    <hyperlink ref="DD195" r:id="rId90" xr:uid="{59411637-26A5-4688-9C71-24AE7AE398BE}"/>
    <hyperlink ref="DD196" r:id="rId91" xr:uid="{26C777C7-CE0F-453D-94B6-97073D92FC6B}"/>
    <hyperlink ref="DD197" r:id="rId92" xr:uid="{7CB1F258-D025-4A8F-BB10-D5E057C0F8E2}"/>
    <hyperlink ref="DD198" r:id="rId93" xr:uid="{337BCA43-BF84-481D-9132-562330612FD4}"/>
    <hyperlink ref="DD199" r:id="rId94" xr:uid="{5B54969A-119B-4C7F-946D-6EB9EC52361F}"/>
    <hyperlink ref="DD200" r:id="rId95" xr:uid="{73AC259C-D97D-4019-9110-357E0024D102}"/>
    <hyperlink ref="DD45" r:id="rId96" xr:uid="{FC610D44-138D-4466-B91A-580CE5E51F5B}"/>
    <hyperlink ref="DD49" r:id="rId97" xr:uid="{7ABFDD26-98BE-47F3-8EAD-37F006B04FFF}"/>
    <hyperlink ref="DD201" r:id="rId98" tooltip="Persistent link using digital object identifier" xr:uid="{1BD8EE53-EF55-41C3-BDA3-D1EF79E89DF1}"/>
    <hyperlink ref="DD202" r:id="rId99" xr:uid="{6CFC56F6-9317-4F1B-A03C-55EBC2210677}"/>
    <hyperlink ref="DD56" r:id="rId100" xr:uid="{A3CE2E7B-651F-4205-8AB3-8AB64D30E114}"/>
    <hyperlink ref="DD54" r:id="rId101" xr:uid="{63E26D55-E8C4-4E06-89BF-AAACCAB30CCB}"/>
    <hyperlink ref="DD70" r:id="rId102" xr:uid="{DCB459D2-CC19-4344-81EB-7F928548BCDA}"/>
    <hyperlink ref="DD72" r:id="rId103" xr:uid="{8194D5A8-8233-4E40-9294-60AED6A5BA84}"/>
    <hyperlink ref="DD119" r:id="rId104" xr:uid="{3D6BD7F8-4EC6-4121-9A36-42B4D86A5BE0}"/>
    <hyperlink ref="DD152" r:id="rId105" xr:uid="{211F8B68-8C3E-477C-8BEB-A080A10459E2}"/>
  </hyperlinks>
  <pageMargins left="0.511811024" right="0.511811024" top="0.78740157499999996" bottom="0.78740157499999996" header="0.31496062000000002" footer="0.31496062000000002"/>
  <pageSetup paperSize="9" orientation="portrait" r:id="rId106"/>
  <drawing r:id="rId1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2025-03-03T20:07:38Z</dcterms:created>
  <dcterms:modified xsi:type="dcterms:W3CDTF">2025-07-25T00:35:36Z</dcterms:modified>
</cp:coreProperties>
</file>